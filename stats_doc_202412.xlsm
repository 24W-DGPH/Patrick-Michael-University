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iversity\Digital Health\Digital Health Project\"/>
    </mc:Choice>
  </mc:AlternateContent>
  <xr:revisionPtr revIDLastSave="0" documentId="13_ncr:1_{5680520C-A73F-4984-B442-4B60DD063FA9}" xr6:coauthVersionLast="47" xr6:coauthVersionMax="47" xr10:uidLastSave="{00000000-0000-0000-0000-000000000000}"/>
  <bookViews>
    <workbookView xWindow="-110" yWindow="-110" windowWidth="19420" windowHeight="11020" tabRatio="950" xr2:uid="{5CAA377F-B434-4E7D-90E2-4D230F596321}"/>
  </bookViews>
  <sheets>
    <sheet name="عمل الطبيب مراكز " sheetId="22" r:id="rId1"/>
    <sheet name="هالة رشدي" sheetId="19" r:id="rId2"/>
    <sheet name="سعد مرشد حنا" sheetId="17" r:id="rId3"/>
    <sheet name="تقي ياسر محمد" sheetId="18" r:id="rId4"/>
    <sheet name="حمزة محمد عاشور" sheetId="9" r:id="rId5"/>
    <sheet name="عمرو عصام الدين" sheetId="10" r:id="rId6"/>
    <sheet name="فاطمة طارق" sheetId="11" r:id="rId7"/>
    <sheet name="شاهندة مجدي محمد" sheetId="12" r:id="rId8"/>
    <sheet name="مارينا سامي صبري" sheetId="13" r:id="rId9"/>
    <sheet name="محمد اشرف الحسيني" sheetId="15" r:id="rId10"/>
    <sheet name="دينا عوني محمد" sheetId="16" r:id="rId11"/>
    <sheet name="ساندرا اشرف موريس" sheetId="5" r:id="rId12"/>
    <sheet name="ريم حسن فارس" sheetId="6" r:id="rId13"/>
    <sheet name="ساندي عماد منير" sheetId="8" r:id="rId14"/>
    <sheet name="كريستين ماجد الفونس" sheetId="3" r:id="rId15"/>
    <sheet name="شيماء زغلول احمد" sheetId="4" r:id="rId16"/>
    <sheet name="مارتن ماجد لويس" sheetId="2" r:id="rId17"/>
    <sheet name="رانيا محفوظ بخيت" sheetId="1" r:id="rId18"/>
    <sheet name="ياسر عبدالرحمن" sheetId="7" r:id="rId19"/>
    <sheet name="احمد احمد عباس" sheetId="14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59" i="2" l="1"/>
  <c r="U6" i="18" l="1"/>
  <c r="Z26" i="22" l="1"/>
  <c r="Z10" i="22"/>
  <c r="AB8" i="9"/>
  <c r="AA8" i="9"/>
  <c r="Z8" i="9"/>
  <c r="AB7" i="9"/>
  <c r="AA7" i="9"/>
  <c r="Z7" i="9"/>
  <c r="Z52" i="22" s="1"/>
  <c r="AB6" i="9"/>
  <c r="AA6" i="9"/>
  <c r="Z6" i="9"/>
  <c r="Z51" i="22" s="1"/>
  <c r="AB8" i="1"/>
  <c r="AA8" i="1"/>
  <c r="Z8" i="1"/>
  <c r="AB7" i="1"/>
  <c r="AA7" i="1"/>
  <c r="Z7" i="1"/>
  <c r="AB6" i="1"/>
  <c r="AA6" i="1"/>
  <c r="Z6" i="1"/>
  <c r="AB8" i="2"/>
  <c r="AA8" i="2"/>
  <c r="Z8" i="2"/>
  <c r="AB7" i="2"/>
  <c r="AA7" i="2"/>
  <c r="Z7" i="2"/>
  <c r="AB6" i="2"/>
  <c r="AA6" i="2"/>
  <c r="Z6" i="2"/>
  <c r="Z9" i="22" s="1"/>
  <c r="AB8" i="4"/>
  <c r="AA8" i="4"/>
  <c r="Z8" i="4"/>
  <c r="Z14" i="22" s="1"/>
  <c r="AB7" i="4"/>
  <c r="AA7" i="4"/>
  <c r="Z7" i="4"/>
  <c r="Z13" i="22" s="1"/>
  <c r="AB6" i="4"/>
  <c r="AA6" i="4"/>
  <c r="Z6" i="4"/>
  <c r="Z12" i="22" s="1"/>
  <c r="AB8" i="3"/>
  <c r="AA8" i="3"/>
  <c r="Z8" i="3"/>
  <c r="AB7" i="3"/>
  <c r="AA7" i="3"/>
  <c r="Z7" i="3"/>
  <c r="Z16" i="22" s="1"/>
  <c r="AB6" i="3"/>
  <c r="AA6" i="3"/>
  <c r="Z6" i="3"/>
  <c r="Z15" i="22" s="1"/>
  <c r="AB8" i="8"/>
  <c r="AA8" i="8"/>
  <c r="Z8" i="8"/>
  <c r="AB7" i="8"/>
  <c r="AA7" i="8"/>
  <c r="Z7" i="8"/>
  <c r="Z19" i="22" s="1"/>
  <c r="AB6" i="8"/>
  <c r="AA6" i="8"/>
  <c r="Z6" i="8"/>
  <c r="Z18" i="22" s="1"/>
  <c r="AB8" i="7"/>
  <c r="AA8" i="7"/>
  <c r="Z8" i="7"/>
  <c r="Z23" i="22" s="1"/>
  <c r="AB7" i="7"/>
  <c r="AA7" i="7"/>
  <c r="Z7" i="7"/>
  <c r="Z22" i="22" s="1"/>
  <c r="AB6" i="7"/>
  <c r="AA6" i="7"/>
  <c r="Z6" i="7"/>
  <c r="Z21" i="22" s="1"/>
  <c r="AB8" i="6"/>
  <c r="AA8" i="6"/>
  <c r="Z8" i="6"/>
  <c r="AB7" i="6"/>
  <c r="AA7" i="6"/>
  <c r="Z7" i="6"/>
  <c r="Z25" i="22" s="1"/>
  <c r="AB6" i="6"/>
  <c r="AA6" i="6"/>
  <c r="Z6" i="6"/>
  <c r="Z24" i="22" s="1"/>
  <c r="AB8" i="5"/>
  <c r="AA8" i="5"/>
  <c r="Z8" i="5"/>
  <c r="AB7" i="5"/>
  <c r="AA7" i="5"/>
  <c r="Z7" i="5"/>
  <c r="Z28" i="22" s="1"/>
  <c r="AB6" i="5"/>
  <c r="AA6" i="5"/>
  <c r="Z6" i="5"/>
  <c r="Z27" i="22" s="1"/>
  <c r="AB8" i="16"/>
  <c r="AA8" i="16"/>
  <c r="Z8" i="16"/>
  <c r="AB7" i="16"/>
  <c r="AA7" i="16"/>
  <c r="Z7" i="16"/>
  <c r="Z31" i="22" s="1"/>
  <c r="AB6" i="16"/>
  <c r="AA6" i="16"/>
  <c r="Z6" i="16"/>
  <c r="Z30" i="22" s="1"/>
  <c r="Z11" i="22" l="1"/>
  <c r="Z32" i="22"/>
  <c r="Z6" i="22"/>
  <c r="Z9" i="7"/>
  <c r="Z29" i="22"/>
  <c r="Z7" i="22"/>
  <c r="Z53" i="22"/>
  <c r="Z9" i="6"/>
  <c r="Z9" i="4"/>
  <c r="Z9" i="16"/>
  <c r="Z9" i="5"/>
  <c r="Z17" i="22"/>
  <c r="Z20" i="22"/>
  <c r="Z8" i="22"/>
  <c r="Z9" i="3"/>
  <c r="Z9" i="9"/>
  <c r="Z9" i="1"/>
  <c r="Z9" i="2"/>
  <c r="Z9" i="8"/>
  <c r="AB8" i="15"/>
  <c r="AA8" i="15"/>
  <c r="Z8" i="15"/>
  <c r="AB7" i="15"/>
  <c r="AA7" i="15"/>
  <c r="Z7" i="15"/>
  <c r="AB6" i="15"/>
  <c r="AA6" i="15"/>
  <c r="Z6" i="15"/>
  <c r="Z33" i="22" s="1"/>
  <c r="AB8" i="14"/>
  <c r="AA8" i="14"/>
  <c r="Z8" i="14"/>
  <c r="Z38" i="22" s="1"/>
  <c r="AB7" i="14"/>
  <c r="AA7" i="14"/>
  <c r="Z7" i="14"/>
  <c r="AB6" i="14"/>
  <c r="AA6" i="14"/>
  <c r="Z6" i="14"/>
  <c r="AB8" i="13"/>
  <c r="AA8" i="13"/>
  <c r="Z8" i="13"/>
  <c r="Z41" i="22" s="1"/>
  <c r="AB7" i="13"/>
  <c r="AA7" i="13"/>
  <c r="Z7" i="13"/>
  <c r="Z40" i="22" s="1"/>
  <c r="AB6" i="13"/>
  <c r="AA6" i="13"/>
  <c r="Z6" i="13"/>
  <c r="AB8" i="12"/>
  <c r="AA8" i="12"/>
  <c r="Z8" i="12"/>
  <c r="Z44" i="22" s="1"/>
  <c r="AB7" i="12"/>
  <c r="AA7" i="12"/>
  <c r="Z7" i="12"/>
  <c r="Z43" i="22" s="1"/>
  <c r="AB6" i="12"/>
  <c r="AA6" i="12"/>
  <c r="Z6" i="12"/>
  <c r="Z42" i="22" s="1"/>
  <c r="AB8" i="11"/>
  <c r="AA8" i="11"/>
  <c r="Z8" i="11"/>
  <c r="AB7" i="11"/>
  <c r="AA7" i="11"/>
  <c r="Z7" i="11"/>
  <c r="Z46" i="22" s="1"/>
  <c r="AB6" i="11"/>
  <c r="AA6" i="11"/>
  <c r="Z6" i="11"/>
  <c r="Z45" i="22" s="1"/>
  <c r="AB8" i="10"/>
  <c r="AA8" i="10"/>
  <c r="Z8" i="10"/>
  <c r="Z50" i="22" s="1"/>
  <c r="AB7" i="10"/>
  <c r="AA7" i="10"/>
  <c r="Z7" i="10"/>
  <c r="AB6" i="10"/>
  <c r="AA6" i="10"/>
  <c r="Z6" i="10"/>
  <c r="AB8" i="18"/>
  <c r="AA8" i="18"/>
  <c r="Z8" i="18"/>
  <c r="AB7" i="18"/>
  <c r="AA7" i="18"/>
  <c r="Z7" i="18"/>
  <c r="AB6" i="18"/>
  <c r="AA6" i="18"/>
  <c r="Z6" i="18"/>
  <c r="AB8" i="19"/>
  <c r="AA8" i="19"/>
  <c r="Z8" i="19"/>
  <c r="AB7" i="19"/>
  <c r="AA7" i="19"/>
  <c r="Z7" i="19"/>
  <c r="AB6" i="19"/>
  <c r="AA6" i="19"/>
  <c r="Z6" i="19"/>
  <c r="Z8" i="17"/>
  <c r="AA8" i="17"/>
  <c r="Z7" i="17"/>
  <c r="AA7" i="17"/>
  <c r="Z6" i="17"/>
  <c r="AA6" i="17"/>
  <c r="AD12" i="10"/>
  <c r="AD13" i="10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77" i="10"/>
  <c r="AD78" i="10"/>
  <c r="AD79" i="10"/>
  <c r="AD80" i="10"/>
  <c r="AD81" i="10"/>
  <c r="AD82" i="10"/>
  <c r="AD83" i="10"/>
  <c r="AD84" i="10"/>
  <c r="AD85" i="10"/>
  <c r="AD86" i="10"/>
  <c r="AD87" i="10"/>
  <c r="AD88" i="10"/>
  <c r="AD89" i="10"/>
  <c r="AD90" i="10"/>
  <c r="AD91" i="10"/>
  <c r="AD92" i="10"/>
  <c r="AD93" i="10"/>
  <c r="AD94" i="10"/>
  <c r="AD95" i="10"/>
  <c r="AD96" i="10"/>
  <c r="AD97" i="10"/>
  <c r="AD98" i="10"/>
  <c r="AD99" i="10"/>
  <c r="AD100" i="10"/>
  <c r="AD101" i="10"/>
  <c r="AD102" i="10"/>
  <c r="AD103" i="10"/>
  <c r="AD11" i="10"/>
  <c r="Z54" i="22" l="1"/>
  <c r="Z49" i="22"/>
  <c r="Z39" i="22"/>
  <c r="Z37" i="22"/>
  <c r="Z35" i="22"/>
  <c r="Z55" i="22"/>
  <c r="Z9" i="10"/>
  <c r="Z48" i="22"/>
  <c r="Z56" i="22"/>
  <c r="Z36" i="22"/>
  <c r="Z34" i="22"/>
  <c r="Z47" i="22"/>
  <c r="Z9" i="11"/>
  <c r="Z9" i="18"/>
  <c r="Z61" i="22"/>
  <c r="Z62" i="22"/>
  <c r="Z60" i="22"/>
  <c r="Z9" i="15"/>
  <c r="Z9" i="14"/>
  <c r="Z9" i="13"/>
  <c r="Z9" i="12"/>
  <c r="Z9" i="19"/>
  <c r="AE12" i="1" l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1" i="1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1" i="2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1" i="4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1" i="3"/>
  <c r="AE12" i="8"/>
  <c r="AE13" i="8"/>
  <c r="AE14" i="8"/>
  <c r="AE15" i="8"/>
  <c r="AE16" i="8"/>
  <c r="AE17" i="8"/>
  <c r="AE18" i="8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AE35" i="8"/>
  <c r="AE36" i="8"/>
  <c r="AE37" i="8"/>
  <c r="AE38" i="8"/>
  <c r="AE39" i="8"/>
  <c r="AE40" i="8"/>
  <c r="AE41" i="8"/>
  <c r="AE42" i="8"/>
  <c r="AE43" i="8"/>
  <c r="AE44" i="8"/>
  <c r="AE45" i="8"/>
  <c r="AE46" i="8"/>
  <c r="AE47" i="8"/>
  <c r="AE48" i="8"/>
  <c r="AE49" i="8"/>
  <c r="AE50" i="8"/>
  <c r="AE51" i="8"/>
  <c r="AE52" i="8"/>
  <c r="AE53" i="8"/>
  <c r="AE54" i="8"/>
  <c r="AE55" i="8"/>
  <c r="AE56" i="8"/>
  <c r="AE57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E71" i="8"/>
  <c r="AE72" i="8"/>
  <c r="AE73" i="8"/>
  <c r="AE74" i="8"/>
  <c r="AE75" i="8"/>
  <c r="AE76" i="8"/>
  <c r="AE77" i="8"/>
  <c r="AE78" i="8"/>
  <c r="AE79" i="8"/>
  <c r="AE80" i="8"/>
  <c r="AE81" i="8"/>
  <c r="AE82" i="8"/>
  <c r="AE83" i="8"/>
  <c r="AE84" i="8"/>
  <c r="AE85" i="8"/>
  <c r="AE86" i="8"/>
  <c r="AE87" i="8"/>
  <c r="AE88" i="8"/>
  <c r="AE89" i="8"/>
  <c r="AE90" i="8"/>
  <c r="AE91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1" i="8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7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E62" i="7"/>
  <c r="AE63" i="7"/>
  <c r="AE64" i="7"/>
  <c r="AE65" i="7"/>
  <c r="AE66" i="7"/>
  <c r="AE67" i="7"/>
  <c r="AE68" i="7"/>
  <c r="AE69" i="7"/>
  <c r="AE70" i="7"/>
  <c r="AE71" i="7"/>
  <c r="AE72" i="7"/>
  <c r="AE73" i="7"/>
  <c r="AE74" i="7"/>
  <c r="AE75" i="7"/>
  <c r="AE76" i="7"/>
  <c r="AE77" i="7"/>
  <c r="AE78" i="7"/>
  <c r="AE79" i="7"/>
  <c r="AE80" i="7"/>
  <c r="AE81" i="7"/>
  <c r="AE82" i="7"/>
  <c r="AE83" i="7"/>
  <c r="AE84" i="7"/>
  <c r="AE85" i="7"/>
  <c r="AE86" i="7"/>
  <c r="AE87" i="7"/>
  <c r="AE88" i="7"/>
  <c r="AE89" i="7"/>
  <c r="AE90" i="7"/>
  <c r="AE91" i="7"/>
  <c r="AE92" i="7"/>
  <c r="AE93" i="7"/>
  <c r="AE94" i="7"/>
  <c r="AE95" i="7"/>
  <c r="AE96" i="7"/>
  <c r="AE97" i="7"/>
  <c r="AE98" i="7"/>
  <c r="AE99" i="7"/>
  <c r="AE100" i="7"/>
  <c r="AE101" i="7"/>
  <c r="AE102" i="7"/>
  <c r="AE103" i="7"/>
  <c r="AE11" i="7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AE48" i="6"/>
  <c r="AE49" i="6"/>
  <c r="AE50" i="6"/>
  <c r="AE51" i="6"/>
  <c r="AE52" i="6"/>
  <c r="AE53" i="6"/>
  <c r="AE54" i="6"/>
  <c r="AE55" i="6"/>
  <c r="AE56" i="6"/>
  <c r="AE57" i="6"/>
  <c r="AE58" i="6"/>
  <c r="AE59" i="6"/>
  <c r="AE60" i="6"/>
  <c r="AE61" i="6"/>
  <c r="AE62" i="6"/>
  <c r="AE63" i="6"/>
  <c r="AE64" i="6"/>
  <c r="AE65" i="6"/>
  <c r="AE66" i="6"/>
  <c r="AE67" i="6"/>
  <c r="AE68" i="6"/>
  <c r="AE69" i="6"/>
  <c r="AE70" i="6"/>
  <c r="AE71" i="6"/>
  <c r="AE72" i="6"/>
  <c r="AE73" i="6"/>
  <c r="AE74" i="6"/>
  <c r="AE75" i="6"/>
  <c r="AE76" i="6"/>
  <c r="AE77" i="6"/>
  <c r="AE78" i="6"/>
  <c r="AE79" i="6"/>
  <c r="AE80" i="6"/>
  <c r="AE81" i="6"/>
  <c r="AE82" i="6"/>
  <c r="AE83" i="6"/>
  <c r="AE84" i="6"/>
  <c r="AE85" i="6"/>
  <c r="AE86" i="6"/>
  <c r="AE87" i="6"/>
  <c r="AE88" i="6"/>
  <c r="AE89" i="6"/>
  <c r="AE90" i="6"/>
  <c r="AE91" i="6"/>
  <c r="AE92" i="6"/>
  <c r="AE93" i="6"/>
  <c r="AE94" i="6"/>
  <c r="AE95" i="6"/>
  <c r="AE96" i="6"/>
  <c r="AE97" i="6"/>
  <c r="AE98" i="6"/>
  <c r="AE99" i="6"/>
  <c r="AE100" i="6"/>
  <c r="AE101" i="6"/>
  <c r="AE102" i="6"/>
  <c r="AE103" i="6"/>
  <c r="AE11" i="6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1" i="5"/>
  <c r="AE12" i="16"/>
  <c r="AE13" i="16"/>
  <c r="AE14" i="16"/>
  <c r="AE15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1" i="16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36" i="15"/>
  <c r="AE37" i="15"/>
  <c r="AE38" i="15"/>
  <c r="AE39" i="15"/>
  <c r="AE40" i="15"/>
  <c r="AE41" i="15"/>
  <c r="AE42" i="15"/>
  <c r="AE43" i="15"/>
  <c r="AE44" i="15"/>
  <c r="AE45" i="15"/>
  <c r="AE46" i="15"/>
  <c r="AE47" i="15"/>
  <c r="AE48" i="15"/>
  <c r="AE49" i="15"/>
  <c r="AE50" i="15"/>
  <c r="AE51" i="15"/>
  <c r="AE52" i="15"/>
  <c r="AE53" i="15"/>
  <c r="AE54" i="15"/>
  <c r="AE55" i="15"/>
  <c r="AE56" i="15"/>
  <c r="AE57" i="15"/>
  <c r="AE58" i="15"/>
  <c r="AE59" i="15"/>
  <c r="AE60" i="15"/>
  <c r="AE61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E77" i="15"/>
  <c r="AE78" i="15"/>
  <c r="AE79" i="15"/>
  <c r="AE80" i="15"/>
  <c r="AE81" i="15"/>
  <c r="AE82" i="15"/>
  <c r="AE83" i="15"/>
  <c r="AE84" i="15"/>
  <c r="AE85" i="15"/>
  <c r="AE86" i="15"/>
  <c r="AE87" i="15"/>
  <c r="AE88" i="15"/>
  <c r="AE89" i="15"/>
  <c r="AE90" i="15"/>
  <c r="AE91" i="15"/>
  <c r="AE92" i="15"/>
  <c r="AE93" i="15"/>
  <c r="AE94" i="15"/>
  <c r="AE95" i="15"/>
  <c r="AE96" i="15"/>
  <c r="AE97" i="15"/>
  <c r="AE98" i="15"/>
  <c r="AE99" i="15"/>
  <c r="AE100" i="15"/>
  <c r="AE101" i="15"/>
  <c r="AE102" i="15"/>
  <c r="AE103" i="15"/>
  <c r="AE11" i="15"/>
  <c r="AE12" i="14"/>
  <c r="AE13" i="14"/>
  <c r="AE14" i="14"/>
  <c r="AE15" i="14"/>
  <c r="AE16" i="14"/>
  <c r="AE17" i="14"/>
  <c r="AE18" i="14"/>
  <c r="AE19" i="14"/>
  <c r="AE20" i="14"/>
  <c r="AE21" i="14"/>
  <c r="AE22" i="14"/>
  <c r="AE23" i="14"/>
  <c r="AE24" i="14"/>
  <c r="AE25" i="14"/>
  <c r="AE26" i="14"/>
  <c r="AE27" i="14"/>
  <c r="AE28" i="14"/>
  <c r="AE29" i="14"/>
  <c r="AE30" i="14"/>
  <c r="AE31" i="14"/>
  <c r="AE32" i="14"/>
  <c r="AE33" i="14"/>
  <c r="AE34" i="14"/>
  <c r="AE35" i="14"/>
  <c r="AE36" i="14"/>
  <c r="AE37" i="14"/>
  <c r="AE38" i="14"/>
  <c r="AE39" i="14"/>
  <c r="AE40" i="14"/>
  <c r="AE41" i="14"/>
  <c r="AE42" i="14"/>
  <c r="AE43" i="14"/>
  <c r="AE44" i="14"/>
  <c r="AE45" i="14"/>
  <c r="AE46" i="14"/>
  <c r="AE47" i="14"/>
  <c r="AE48" i="14"/>
  <c r="AE49" i="14"/>
  <c r="AE50" i="14"/>
  <c r="AE51" i="14"/>
  <c r="AE52" i="14"/>
  <c r="AE53" i="14"/>
  <c r="AE54" i="14"/>
  <c r="AE55" i="14"/>
  <c r="AE56" i="14"/>
  <c r="AE57" i="14"/>
  <c r="AE58" i="14"/>
  <c r="AE59" i="14"/>
  <c r="AE60" i="14"/>
  <c r="AE61" i="14"/>
  <c r="AE62" i="14"/>
  <c r="AE63" i="14"/>
  <c r="AE64" i="14"/>
  <c r="AE65" i="14"/>
  <c r="AE66" i="14"/>
  <c r="AE67" i="14"/>
  <c r="AE68" i="14"/>
  <c r="AE69" i="14"/>
  <c r="AE70" i="14"/>
  <c r="AE71" i="14"/>
  <c r="AE72" i="14"/>
  <c r="AE73" i="14"/>
  <c r="AE74" i="14"/>
  <c r="AE75" i="14"/>
  <c r="AE76" i="14"/>
  <c r="AE77" i="14"/>
  <c r="AE78" i="14"/>
  <c r="AE79" i="14"/>
  <c r="AE80" i="14"/>
  <c r="AE81" i="14"/>
  <c r="AE82" i="14"/>
  <c r="AE83" i="14"/>
  <c r="AE84" i="14"/>
  <c r="AE85" i="14"/>
  <c r="AE86" i="14"/>
  <c r="AE87" i="14"/>
  <c r="AE88" i="14"/>
  <c r="AE89" i="14"/>
  <c r="AE90" i="14"/>
  <c r="AE91" i="14"/>
  <c r="AE92" i="14"/>
  <c r="AE93" i="14"/>
  <c r="AE94" i="14"/>
  <c r="AE95" i="14"/>
  <c r="AE96" i="14"/>
  <c r="AE97" i="14"/>
  <c r="AE98" i="14"/>
  <c r="AE99" i="14"/>
  <c r="AE100" i="14"/>
  <c r="AE101" i="14"/>
  <c r="AE102" i="14"/>
  <c r="AE103" i="14"/>
  <c r="AE11" i="14"/>
  <c r="AE12" i="13"/>
  <c r="AE13" i="13"/>
  <c r="AE14" i="13"/>
  <c r="AE15" i="13"/>
  <c r="AE16" i="13"/>
  <c r="AE17" i="13"/>
  <c r="AE18" i="13"/>
  <c r="AE19" i="13"/>
  <c r="AE20" i="13"/>
  <c r="AE21" i="13"/>
  <c r="AE22" i="13"/>
  <c r="AE23" i="13"/>
  <c r="AE24" i="13"/>
  <c r="AE25" i="13"/>
  <c r="AE26" i="13"/>
  <c r="AE27" i="13"/>
  <c r="AE28" i="13"/>
  <c r="AE29" i="13"/>
  <c r="AE30" i="13"/>
  <c r="AE31" i="13"/>
  <c r="AE32" i="13"/>
  <c r="AE33" i="13"/>
  <c r="AE34" i="13"/>
  <c r="AE35" i="13"/>
  <c r="AE36" i="13"/>
  <c r="AE37" i="13"/>
  <c r="AE38" i="13"/>
  <c r="AE39" i="13"/>
  <c r="AE40" i="13"/>
  <c r="AE41" i="13"/>
  <c r="AE42" i="13"/>
  <c r="AE43" i="13"/>
  <c r="AE44" i="13"/>
  <c r="AE45" i="13"/>
  <c r="AE46" i="13"/>
  <c r="AE47" i="13"/>
  <c r="AE48" i="13"/>
  <c r="AE49" i="13"/>
  <c r="AE50" i="13"/>
  <c r="AE51" i="13"/>
  <c r="AE52" i="13"/>
  <c r="AE53" i="13"/>
  <c r="AE54" i="13"/>
  <c r="AE55" i="13"/>
  <c r="AE56" i="13"/>
  <c r="AE57" i="13"/>
  <c r="AE58" i="13"/>
  <c r="AE59" i="13"/>
  <c r="AE60" i="13"/>
  <c r="AE61" i="13"/>
  <c r="AE62" i="13"/>
  <c r="AE63" i="13"/>
  <c r="AE64" i="13"/>
  <c r="AE65" i="13"/>
  <c r="AE66" i="13"/>
  <c r="AE67" i="13"/>
  <c r="AE68" i="13"/>
  <c r="AE69" i="13"/>
  <c r="AE70" i="13"/>
  <c r="AE71" i="13"/>
  <c r="AE72" i="13"/>
  <c r="AE73" i="13"/>
  <c r="AE74" i="13"/>
  <c r="AE75" i="13"/>
  <c r="AE76" i="13"/>
  <c r="AE77" i="13"/>
  <c r="AE78" i="13"/>
  <c r="AE79" i="13"/>
  <c r="AE80" i="13"/>
  <c r="AE81" i="13"/>
  <c r="AE82" i="13"/>
  <c r="AE83" i="13"/>
  <c r="AE84" i="13"/>
  <c r="AE85" i="13"/>
  <c r="AE86" i="13"/>
  <c r="AE87" i="13"/>
  <c r="AE88" i="13"/>
  <c r="AE89" i="13"/>
  <c r="AE90" i="13"/>
  <c r="AE91" i="13"/>
  <c r="AE92" i="13"/>
  <c r="AE93" i="13"/>
  <c r="AE94" i="13"/>
  <c r="AE95" i="13"/>
  <c r="AE96" i="13"/>
  <c r="AE97" i="13"/>
  <c r="AE98" i="13"/>
  <c r="AE99" i="13"/>
  <c r="AE100" i="13"/>
  <c r="AE101" i="13"/>
  <c r="AE102" i="13"/>
  <c r="AE103" i="13"/>
  <c r="AE11" i="13"/>
  <c r="AE12" i="12"/>
  <c r="AE13" i="12"/>
  <c r="AE14" i="12"/>
  <c r="AE15" i="12"/>
  <c r="AE16" i="12"/>
  <c r="AE17" i="12"/>
  <c r="AE18" i="12"/>
  <c r="AE19" i="12"/>
  <c r="AE20" i="12"/>
  <c r="AE21" i="12"/>
  <c r="AE22" i="12"/>
  <c r="AE23" i="12"/>
  <c r="AE24" i="12"/>
  <c r="AE25" i="12"/>
  <c r="AE26" i="12"/>
  <c r="AE27" i="12"/>
  <c r="AE28" i="12"/>
  <c r="AE29" i="12"/>
  <c r="AE30" i="12"/>
  <c r="AE31" i="12"/>
  <c r="AE32" i="12"/>
  <c r="AE33" i="12"/>
  <c r="AE34" i="12"/>
  <c r="AE35" i="12"/>
  <c r="AE36" i="12"/>
  <c r="AE37" i="12"/>
  <c r="AE38" i="12"/>
  <c r="AE39" i="12"/>
  <c r="AE40" i="12"/>
  <c r="AE41" i="12"/>
  <c r="AE42" i="12"/>
  <c r="AE43" i="12"/>
  <c r="AE44" i="12"/>
  <c r="AE45" i="12"/>
  <c r="AE46" i="12"/>
  <c r="AE47" i="12"/>
  <c r="AE48" i="12"/>
  <c r="AE49" i="12"/>
  <c r="AE50" i="12"/>
  <c r="AE51" i="12"/>
  <c r="AE52" i="12"/>
  <c r="AE53" i="12"/>
  <c r="AE54" i="12"/>
  <c r="AE55" i="12"/>
  <c r="AE56" i="12"/>
  <c r="AE57" i="12"/>
  <c r="AE58" i="12"/>
  <c r="AE59" i="12"/>
  <c r="AE60" i="12"/>
  <c r="AE61" i="12"/>
  <c r="AE62" i="12"/>
  <c r="AE63" i="12"/>
  <c r="AE64" i="12"/>
  <c r="AE65" i="12"/>
  <c r="AE66" i="12"/>
  <c r="AE67" i="12"/>
  <c r="AE68" i="12"/>
  <c r="AE69" i="12"/>
  <c r="AE70" i="12"/>
  <c r="AE71" i="12"/>
  <c r="AE72" i="12"/>
  <c r="AE73" i="12"/>
  <c r="AE74" i="12"/>
  <c r="AE75" i="12"/>
  <c r="AE76" i="12"/>
  <c r="AE77" i="12"/>
  <c r="AE78" i="12"/>
  <c r="AE79" i="12"/>
  <c r="AE80" i="12"/>
  <c r="AE81" i="12"/>
  <c r="AE82" i="12"/>
  <c r="AE83" i="12"/>
  <c r="AE84" i="12"/>
  <c r="AE85" i="12"/>
  <c r="AE86" i="12"/>
  <c r="AE87" i="12"/>
  <c r="AE88" i="12"/>
  <c r="AE89" i="12"/>
  <c r="AE90" i="12"/>
  <c r="AE91" i="12"/>
  <c r="AE92" i="12"/>
  <c r="AE93" i="12"/>
  <c r="AE94" i="12"/>
  <c r="AE95" i="12"/>
  <c r="AE96" i="12"/>
  <c r="AE97" i="12"/>
  <c r="AE98" i="12"/>
  <c r="AE99" i="12"/>
  <c r="AE100" i="12"/>
  <c r="AE101" i="12"/>
  <c r="AE102" i="12"/>
  <c r="AE103" i="12"/>
  <c r="AE11" i="12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1" i="11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1" i="10"/>
  <c r="AE12" i="18"/>
  <c r="AE13" i="18"/>
  <c r="AE14" i="18"/>
  <c r="AE15" i="18"/>
  <c r="AE16" i="18"/>
  <c r="AE17" i="18"/>
  <c r="AE18" i="18"/>
  <c r="AE19" i="18"/>
  <c r="AE20" i="18"/>
  <c r="AE21" i="18"/>
  <c r="AE22" i="18"/>
  <c r="AE23" i="18"/>
  <c r="AE24" i="18"/>
  <c r="AE25" i="18"/>
  <c r="AE26" i="18"/>
  <c r="AE27" i="18"/>
  <c r="AE28" i="18"/>
  <c r="AE29" i="18"/>
  <c r="AE30" i="18"/>
  <c r="AE31" i="18"/>
  <c r="AE32" i="18"/>
  <c r="AE33" i="18"/>
  <c r="AE34" i="18"/>
  <c r="AE35" i="18"/>
  <c r="AE36" i="18"/>
  <c r="AE37" i="18"/>
  <c r="AE38" i="18"/>
  <c r="AE39" i="18"/>
  <c r="AE40" i="18"/>
  <c r="AE41" i="18"/>
  <c r="AE42" i="18"/>
  <c r="AE43" i="18"/>
  <c r="AE44" i="18"/>
  <c r="AE45" i="18"/>
  <c r="AE46" i="18"/>
  <c r="AE47" i="18"/>
  <c r="AE48" i="18"/>
  <c r="AE49" i="18"/>
  <c r="AE50" i="18"/>
  <c r="AE51" i="18"/>
  <c r="AE52" i="18"/>
  <c r="AE53" i="18"/>
  <c r="AE54" i="18"/>
  <c r="AE55" i="18"/>
  <c r="AE56" i="18"/>
  <c r="AE57" i="18"/>
  <c r="AE58" i="18"/>
  <c r="AE59" i="18"/>
  <c r="AE60" i="18"/>
  <c r="AE61" i="18"/>
  <c r="AE62" i="18"/>
  <c r="AE63" i="18"/>
  <c r="AE64" i="18"/>
  <c r="AE65" i="18"/>
  <c r="AE66" i="18"/>
  <c r="AE67" i="18"/>
  <c r="AE68" i="18"/>
  <c r="AE69" i="18"/>
  <c r="AE70" i="18"/>
  <c r="AE71" i="18"/>
  <c r="AE72" i="18"/>
  <c r="AE73" i="18"/>
  <c r="AE74" i="18"/>
  <c r="AE75" i="18"/>
  <c r="AE76" i="18"/>
  <c r="AE77" i="18"/>
  <c r="AE78" i="18"/>
  <c r="AE79" i="18"/>
  <c r="AE80" i="18"/>
  <c r="AE81" i="18"/>
  <c r="AE82" i="18"/>
  <c r="AE83" i="18"/>
  <c r="AE84" i="18"/>
  <c r="AE85" i="18"/>
  <c r="AE86" i="18"/>
  <c r="AE87" i="18"/>
  <c r="AE88" i="18"/>
  <c r="AE89" i="18"/>
  <c r="AE90" i="18"/>
  <c r="AE91" i="18"/>
  <c r="AE92" i="18"/>
  <c r="AE93" i="18"/>
  <c r="AE94" i="18"/>
  <c r="AE95" i="18"/>
  <c r="AE96" i="18"/>
  <c r="AE97" i="18"/>
  <c r="AE98" i="18"/>
  <c r="AE99" i="18"/>
  <c r="AE100" i="18"/>
  <c r="AE101" i="18"/>
  <c r="AE102" i="18"/>
  <c r="AE103" i="18"/>
  <c r="AE11" i="18"/>
  <c r="AE12" i="17"/>
  <c r="AE13" i="17"/>
  <c r="AE14" i="17"/>
  <c r="AE15" i="17"/>
  <c r="AE16" i="17"/>
  <c r="AE17" i="17"/>
  <c r="AE18" i="17"/>
  <c r="AE19" i="17"/>
  <c r="AE20" i="17"/>
  <c r="AE21" i="17"/>
  <c r="AE22" i="17"/>
  <c r="AE23" i="17"/>
  <c r="AE24" i="17"/>
  <c r="AE25" i="17"/>
  <c r="AE26" i="17"/>
  <c r="AE27" i="17"/>
  <c r="AE28" i="17"/>
  <c r="AE29" i="17"/>
  <c r="AE30" i="17"/>
  <c r="AE31" i="17"/>
  <c r="AE32" i="17"/>
  <c r="AE33" i="17"/>
  <c r="AE34" i="17"/>
  <c r="AE35" i="17"/>
  <c r="AE36" i="17"/>
  <c r="AE37" i="17"/>
  <c r="AE38" i="17"/>
  <c r="AE39" i="17"/>
  <c r="AE40" i="17"/>
  <c r="AE41" i="17"/>
  <c r="AE42" i="17"/>
  <c r="AE43" i="17"/>
  <c r="AE44" i="17"/>
  <c r="AE45" i="17"/>
  <c r="AE46" i="17"/>
  <c r="AE47" i="17"/>
  <c r="AE48" i="17"/>
  <c r="AE49" i="17"/>
  <c r="AE50" i="17"/>
  <c r="AE51" i="17"/>
  <c r="AE52" i="17"/>
  <c r="AE53" i="17"/>
  <c r="AE54" i="17"/>
  <c r="AE55" i="17"/>
  <c r="AE56" i="17"/>
  <c r="AE57" i="17"/>
  <c r="AE58" i="17"/>
  <c r="AE59" i="17"/>
  <c r="AE60" i="17"/>
  <c r="AE61" i="17"/>
  <c r="AE62" i="17"/>
  <c r="AE63" i="17"/>
  <c r="AE64" i="17"/>
  <c r="AE65" i="17"/>
  <c r="AE66" i="17"/>
  <c r="AE67" i="17"/>
  <c r="AE68" i="17"/>
  <c r="AE69" i="17"/>
  <c r="AE70" i="17"/>
  <c r="AE71" i="17"/>
  <c r="AE72" i="17"/>
  <c r="AE73" i="17"/>
  <c r="AE74" i="17"/>
  <c r="AE75" i="17"/>
  <c r="AE76" i="17"/>
  <c r="AE77" i="17"/>
  <c r="AE78" i="17"/>
  <c r="AE79" i="17"/>
  <c r="AE80" i="17"/>
  <c r="AE81" i="17"/>
  <c r="AE82" i="17"/>
  <c r="AE83" i="17"/>
  <c r="AE84" i="17"/>
  <c r="AE85" i="17"/>
  <c r="AE86" i="17"/>
  <c r="AE87" i="17"/>
  <c r="AE88" i="17"/>
  <c r="AE89" i="17"/>
  <c r="AE90" i="17"/>
  <c r="AE91" i="17"/>
  <c r="AE92" i="17"/>
  <c r="AE93" i="17"/>
  <c r="AE94" i="17"/>
  <c r="AE95" i="17"/>
  <c r="AE96" i="17"/>
  <c r="AE97" i="17"/>
  <c r="AE98" i="17"/>
  <c r="AE99" i="17"/>
  <c r="AE100" i="17"/>
  <c r="AE101" i="17"/>
  <c r="AE102" i="17"/>
  <c r="AE103" i="17"/>
  <c r="AE11" i="17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1" i="1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1" i="2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1" i="4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1" i="3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1" i="8"/>
  <c r="AD12" i="7"/>
  <c r="AD13" i="7"/>
  <c r="AD14" i="7"/>
  <c r="AD15" i="7"/>
  <c r="AD16" i="7"/>
  <c r="AD17" i="7"/>
  <c r="AD18" i="7"/>
  <c r="AD19" i="7"/>
  <c r="AD20" i="7"/>
  <c r="AD21" i="7"/>
  <c r="AD22" i="7"/>
  <c r="AD23" i="7"/>
  <c r="AD24" i="7"/>
  <c r="AD25" i="7"/>
  <c r="AD26" i="7"/>
  <c r="AD27" i="7"/>
  <c r="AD28" i="7"/>
  <c r="AD29" i="7"/>
  <c r="AD30" i="7"/>
  <c r="AD31" i="7"/>
  <c r="AD32" i="7"/>
  <c r="AD33" i="7"/>
  <c r="AD34" i="7"/>
  <c r="AD35" i="7"/>
  <c r="AD36" i="7"/>
  <c r="AD37" i="7"/>
  <c r="AD38" i="7"/>
  <c r="AD39" i="7"/>
  <c r="AD40" i="7"/>
  <c r="AD41" i="7"/>
  <c r="AD42" i="7"/>
  <c r="AD43" i="7"/>
  <c r="AD44" i="7"/>
  <c r="AD45" i="7"/>
  <c r="AD46" i="7"/>
  <c r="AD47" i="7"/>
  <c r="AD48" i="7"/>
  <c r="AD49" i="7"/>
  <c r="AD50" i="7"/>
  <c r="AD51" i="7"/>
  <c r="AD52" i="7"/>
  <c r="AD53" i="7"/>
  <c r="AD54" i="7"/>
  <c r="AD55" i="7"/>
  <c r="AD56" i="7"/>
  <c r="AD57" i="7"/>
  <c r="AD58" i="7"/>
  <c r="AD59" i="7"/>
  <c r="AD60" i="7"/>
  <c r="AD61" i="7"/>
  <c r="AD62" i="7"/>
  <c r="AD63" i="7"/>
  <c r="AD64" i="7"/>
  <c r="AD65" i="7"/>
  <c r="AD66" i="7"/>
  <c r="AD67" i="7"/>
  <c r="AD68" i="7"/>
  <c r="AD69" i="7"/>
  <c r="AD70" i="7"/>
  <c r="AD71" i="7"/>
  <c r="AD72" i="7"/>
  <c r="AD73" i="7"/>
  <c r="AD74" i="7"/>
  <c r="AD75" i="7"/>
  <c r="AD76" i="7"/>
  <c r="AD77" i="7"/>
  <c r="AD78" i="7"/>
  <c r="AD79" i="7"/>
  <c r="AD80" i="7"/>
  <c r="AD81" i="7"/>
  <c r="AD82" i="7"/>
  <c r="AD83" i="7"/>
  <c r="AD84" i="7"/>
  <c r="AD85" i="7"/>
  <c r="AD86" i="7"/>
  <c r="AD87" i="7"/>
  <c r="AD88" i="7"/>
  <c r="AD89" i="7"/>
  <c r="AD90" i="7"/>
  <c r="AD91" i="7"/>
  <c r="AD92" i="7"/>
  <c r="AD93" i="7"/>
  <c r="AD94" i="7"/>
  <c r="AD95" i="7"/>
  <c r="AD96" i="7"/>
  <c r="AD97" i="7"/>
  <c r="AD98" i="7"/>
  <c r="AD99" i="7"/>
  <c r="AD100" i="7"/>
  <c r="AD101" i="7"/>
  <c r="AD102" i="7"/>
  <c r="AD103" i="7"/>
  <c r="AD11" i="7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1" i="6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1" i="5"/>
  <c r="AD14" i="16"/>
  <c r="AD15" i="16"/>
  <c r="AD16" i="16"/>
  <c r="AD17" i="16"/>
  <c r="AD18" i="16"/>
  <c r="AD19" i="16"/>
  <c r="AD20" i="16"/>
  <c r="AD21" i="16"/>
  <c r="AD22" i="16"/>
  <c r="AD23" i="16"/>
  <c r="AD24" i="16"/>
  <c r="AD25" i="16"/>
  <c r="AD26" i="16"/>
  <c r="AD27" i="16"/>
  <c r="AD28" i="16"/>
  <c r="AD29" i="16"/>
  <c r="AD30" i="16"/>
  <c r="AD31" i="16"/>
  <c r="AD32" i="16"/>
  <c r="AD33" i="16"/>
  <c r="AD34" i="16"/>
  <c r="AD35" i="16"/>
  <c r="AD36" i="16"/>
  <c r="AD37" i="16"/>
  <c r="AD38" i="16"/>
  <c r="AD39" i="16"/>
  <c r="AD40" i="16"/>
  <c r="AD41" i="16"/>
  <c r="AD42" i="16"/>
  <c r="AD43" i="16"/>
  <c r="AD44" i="16"/>
  <c r="AD45" i="16"/>
  <c r="AD46" i="16"/>
  <c r="AD47" i="16"/>
  <c r="AD48" i="16"/>
  <c r="AD49" i="16"/>
  <c r="AD50" i="16"/>
  <c r="AD51" i="16"/>
  <c r="AD52" i="16"/>
  <c r="AD53" i="16"/>
  <c r="AD54" i="16"/>
  <c r="AD55" i="16"/>
  <c r="AD56" i="16"/>
  <c r="AD57" i="16"/>
  <c r="AD58" i="16"/>
  <c r="AD59" i="16"/>
  <c r="AD60" i="16"/>
  <c r="AD61" i="16"/>
  <c r="AD62" i="16"/>
  <c r="AD63" i="16"/>
  <c r="AD64" i="16"/>
  <c r="AD65" i="16"/>
  <c r="AD66" i="16"/>
  <c r="AD67" i="16"/>
  <c r="AD68" i="16"/>
  <c r="AD69" i="16"/>
  <c r="AD70" i="16"/>
  <c r="AD71" i="16"/>
  <c r="AD72" i="16"/>
  <c r="AD73" i="16"/>
  <c r="AD74" i="16"/>
  <c r="AD75" i="16"/>
  <c r="AD76" i="16"/>
  <c r="AD77" i="16"/>
  <c r="AD78" i="16"/>
  <c r="AD79" i="16"/>
  <c r="AD80" i="16"/>
  <c r="AD81" i="16"/>
  <c r="AD82" i="16"/>
  <c r="AD83" i="16"/>
  <c r="AD84" i="16"/>
  <c r="AD85" i="16"/>
  <c r="AD86" i="16"/>
  <c r="AD87" i="16"/>
  <c r="AD88" i="16"/>
  <c r="AD89" i="16"/>
  <c r="AD90" i="16"/>
  <c r="AD91" i="16"/>
  <c r="AD92" i="16"/>
  <c r="AD93" i="16"/>
  <c r="AD94" i="16"/>
  <c r="AD95" i="16"/>
  <c r="AD96" i="16"/>
  <c r="AD97" i="16"/>
  <c r="AD98" i="16"/>
  <c r="AD99" i="16"/>
  <c r="AD100" i="16"/>
  <c r="AD101" i="16"/>
  <c r="AD102" i="16"/>
  <c r="AD103" i="16"/>
  <c r="AD12" i="16"/>
  <c r="AD13" i="16"/>
  <c r="AD11" i="16"/>
  <c r="AD12" i="15"/>
  <c r="AD13" i="15"/>
  <c r="AD14" i="15"/>
  <c r="AD15" i="15"/>
  <c r="AD16" i="15"/>
  <c r="AD17" i="15"/>
  <c r="AD18" i="15"/>
  <c r="AD19" i="15"/>
  <c r="AD20" i="15"/>
  <c r="AD21" i="15"/>
  <c r="AD22" i="15"/>
  <c r="AD23" i="15"/>
  <c r="AD24" i="15"/>
  <c r="AD25" i="15"/>
  <c r="AD26" i="15"/>
  <c r="AD27" i="15"/>
  <c r="AD28" i="15"/>
  <c r="AD29" i="15"/>
  <c r="AD30" i="15"/>
  <c r="AD31" i="15"/>
  <c r="AD32" i="15"/>
  <c r="AD33" i="15"/>
  <c r="AD34" i="15"/>
  <c r="AD35" i="15"/>
  <c r="AD36" i="15"/>
  <c r="AD37" i="15"/>
  <c r="AD38" i="15"/>
  <c r="AD39" i="15"/>
  <c r="AD40" i="15"/>
  <c r="AD41" i="15"/>
  <c r="AD42" i="15"/>
  <c r="AD43" i="15"/>
  <c r="AD44" i="15"/>
  <c r="AD45" i="15"/>
  <c r="AD46" i="15"/>
  <c r="AD47" i="15"/>
  <c r="AD48" i="15"/>
  <c r="AD49" i="15"/>
  <c r="AD50" i="15"/>
  <c r="AD51" i="15"/>
  <c r="AD52" i="15"/>
  <c r="AD53" i="15"/>
  <c r="AD54" i="15"/>
  <c r="AD55" i="15"/>
  <c r="AD56" i="15"/>
  <c r="AD57" i="15"/>
  <c r="AD58" i="15"/>
  <c r="AD59" i="15"/>
  <c r="AD60" i="15"/>
  <c r="AD61" i="15"/>
  <c r="AD62" i="15"/>
  <c r="AD63" i="15"/>
  <c r="AD64" i="15"/>
  <c r="AD65" i="15"/>
  <c r="AD66" i="15"/>
  <c r="AD67" i="15"/>
  <c r="AD68" i="15"/>
  <c r="AD69" i="15"/>
  <c r="AD70" i="15"/>
  <c r="AD71" i="15"/>
  <c r="AD72" i="15"/>
  <c r="AD73" i="15"/>
  <c r="AD74" i="15"/>
  <c r="AD75" i="15"/>
  <c r="AD76" i="15"/>
  <c r="AD77" i="15"/>
  <c r="AD78" i="15"/>
  <c r="AD79" i="15"/>
  <c r="AD80" i="15"/>
  <c r="AD81" i="15"/>
  <c r="AD82" i="15"/>
  <c r="AD83" i="15"/>
  <c r="AD84" i="15"/>
  <c r="AD85" i="15"/>
  <c r="AD86" i="15"/>
  <c r="AD87" i="15"/>
  <c r="AD88" i="15"/>
  <c r="AD89" i="15"/>
  <c r="AD90" i="15"/>
  <c r="AD91" i="15"/>
  <c r="AD92" i="15"/>
  <c r="AD93" i="15"/>
  <c r="AD94" i="15"/>
  <c r="AD95" i="15"/>
  <c r="AD96" i="15"/>
  <c r="AD97" i="15"/>
  <c r="AD98" i="15"/>
  <c r="AD99" i="15"/>
  <c r="AD100" i="15"/>
  <c r="AD101" i="15"/>
  <c r="AD102" i="15"/>
  <c r="AD103" i="15"/>
  <c r="AD11" i="15"/>
  <c r="AD12" i="14"/>
  <c r="AD13" i="14"/>
  <c r="AD14" i="14"/>
  <c r="AD15" i="14"/>
  <c r="AD16" i="14"/>
  <c r="AD17" i="14"/>
  <c r="AD18" i="14"/>
  <c r="AD19" i="14"/>
  <c r="AD20" i="14"/>
  <c r="AD21" i="14"/>
  <c r="AD22" i="14"/>
  <c r="AD23" i="14"/>
  <c r="AD24" i="14"/>
  <c r="AD25" i="14"/>
  <c r="AD26" i="14"/>
  <c r="AD27" i="14"/>
  <c r="AD28" i="14"/>
  <c r="AD29" i="14"/>
  <c r="AD30" i="14"/>
  <c r="AD31" i="14"/>
  <c r="AD32" i="14"/>
  <c r="AD33" i="14"/>
  <c r="AD34" i="14"/>
  <c r="AD35" i="14"/>
  <c r="AD36" i="14"/>
  <c r="AD37" i="14"/>
  <c r="AD38" i="14"/>
  <c r="AD39" i="14"/>
  <c r="AD40" i="14"/>
  <c r="AD41" i="14"/>
  <c r="AD42" i="14"/>
  <c r="AD43" i="14"/>
  <c r="AD44" i="14"/>
  <c r="AD45" i="14"/>
  <c r="AD46" i="14"/>
  <c r="AD47" i="14"/>
  <c r="AD48" i="14"/>
  <c r="AD49" i="14"/>
  <c r="AD50" i="14"/>
  <c r="AD51" i="14"/>
  <c r="AD52" i="14"/>
  <c r="AD53" i="14"/>
  <c r="AD54" i="14"/>
  <c r="AD55" i="14"/>
  <c r="AD56" i="14"/>
  <c r="AD57" i="14"/>
  <c r="AD58" i="14"/>
  <c r="AD59" i="14"/>
  <c r="AD60" i="14"/>
  <c r="AD61" i="14"/>
  <c r="AD62" i="14"/>
  <c r="AD63" i="14"/>
  <c r="AD64" i="14"/>
  <c r="AD65" i="14"/>
  <c r="AD66" i="14"/>
  <c r="AD67" i="14"/>
  <c r="AD68" i="14"/>
  <c r="AD69" i="14"/>
  <c r="AD70" i="14"/>
  <c r="AD71" i="14"/>
  <c r="AD72" i="14"/>
  <c r="AD73" i="14"/>
  <c r="AD74" i="14"/>
  <c r="AD75" i="14"/>
  <c r="AD76" i="14"/>
  <c r="AD77" i="14"/>
  <c r="AD78" i="14"/>
  <c r="AD79" i="14"/>
  <c r="AD80" i="14"/>
  <c r="AD81" i="14"/>
  <c r="AD82" i="14"/>
  <c r="AD83" i="14"/>
  <c r="AD84" i="14"/>
  <c r="AD85" i="14"/>
  <c r="AD86" i="14"/>
  <c r="AD87" i="14"/>
  <c r="AD88" i="14"/>
  <c r="AD89" i="14"/>
  <c r="AD90" i="14"/>
  <c r="AD91" i="14"/>
  <c r="AD92" i="14"/>
  <c r="AD93" i="14"/>
  <c r="AD94" i="14"/>
  <c r="AD95" i="14"/>
  <c r="AD96" i="14"/>
  <c r="AD97" i="14"/>
  <c r="AD98" i="14"/>
  <c r="AD99" i="14"/>
  <c r="AD100" i="14"/>
  <c r="AD101" i="14"/>
  <c r="AD102" i="14"/>
  <c r="AD103" i="14"/>
  <c r="AD11" i="14"/>
  <c r="AD12" i="13"/>
  <c r="AD13" i="13"/>
  <c r="AD14" i="13"/>
  <c r="AD15" i="13"/>
  <c r="AD16" i="13"/>
  <c r="AD17" i="13"/>
  <c r="AD18" i="13"/>
  <c r="AD19" i="13"/>
  <c r="AD20" i="13"/>
  <c r="AD21" i="13"/>
  <c r="AD22" i="13"/>
  <c r="AD23" i="13"/>
  <c r="AD24" i="13"/>
  <c r="AD25" i="13"/>
  <c r="AD26" i="13"/>
  <c r="AD27" i="13"/>
  <c r="AD28" i="13"/>
  <c r="AD29" i="13"/>
  <c r="AD30" i="13"/>
  <c r="AD31" i="13"/>
  <c r="AD32" i="13"/>
  <c r="AD33" i="13"/>
  <c r="AD34" i="13"/>
  <c r="AD35" i="13"/>
  <c r="AD36" i="13"/>
  <c r="AD37" i="13"/>
  <c r="AD38" i="13"/>
  <c r="AD39" i="13"/>
  <c r="AD40" i="13"/>
  <c r="AD41" i="13"/>
  <c r="AD42" i="13"/>
  <c r="AD43" i="13"/>
  <c r="AD44" i="13"/>
  <c r="AD45" i="13"/>
  <c r="AD46" i="13"/>
  <c r="AD47" i="13"/>
  <c r="AD48" i="13"/>
  <c r="AD49" i="13"/>
  <c r="AD50" i="13"/>
  <c r="AD51" i="13"/>
  <c r="AD52" i="13"/>
  <c r="AD53" i="13"/>
  <c r="AD54" i="13"/>
  <c r="AD55" i="13"/>
  <c r="AD56" i="13"/>
  <c r="AD57" i="13"/>
  <c r="AD58" i="13"/>
  <c r="AD59" i="13"/>
  <c r="AD60" i="13"/>
  <c r="AD61" i="13"/>
  <c r="AD62" i="13"/>
  <c r="AD63" i="13"/>
  <c r="AD64" i="13"/>
  <c r="AD65" i="13"/>
  <c r="AD66" i="13"/>
  <c r="AD67" i="13"/>
  <c r="AD68" i="13"/>
  <c r="AD69" i="13"/>
  <c r="AD70" i="13"/>
  <c r="AD71" i="13"/>
  <c r="AD72" i="13"/>
  <c r="AD73" i="13"/>
  <c r="AD74" i="13"/>
  <c r="AD75" i="13"/>
  <c r="AD76" i="13"/>
  <c r="AD77" i="13"/>
  <c r="AD78" i="13"/>
  <c r="AD79" i="13"/>
  <c r="AD80" i="13"/>
  <c r="AD81" i="13"/>
  <c r="AD82" i="13"/>
  <c r="AD83" i="13"/>
  <c r="AD84" i="13"/>
  <c r="AD85" i="13"/>
  <c r="AD86" i="13"/>
  <c r="AD87" i="13"/>
  <c r="AD88" i="13"/>
  <c r="AD89" i="13"/>
  <c r="AD90" i="13"/>
  <c r="AD91" i="13"/>
  <c r="AD92" i="13"/>
  <c r="AD93" i="13"/>
  <c r="AD94" i="13"/>
  <c r="AD95" i="13"/>
  <c r="AD96" i="13"/>
  <c r="AD97" i="13"/>
  <c r="AD98" i="13"/>
  <c r="AD99" i="13"/>
  <c r="AD100" i="13"/>
  <c r="AD101" i="13"/>
  <c r="AD102" i="13"/>
  <c r="AD103" i="13"/>
  <c r="AD11" i="13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AD36" i="12"/>
  <c r="AD37" i="12"/>
  <c r="AD38" i="12"/>
  <c r="AD39" i="12"/>
  <c r="AD40" i="12"/>
  <c r="AD41" i="12"/>
  <c r="AD42" i="12"/>
  <c r="AD43" i="12"/>
  <c r="AD44" i="12"/>
  <c r="AD45" i="12"/>
  <c r="AD46" i="12"/>
  <c r="AD47" i="12"/>
  <c r="AD48" i="12"/>
  <c r="AD49" i="12"/>
  <c r="AD50" i="12"/>
  <c r="AD51" i="12"/>
  <c r="AD52" i="12"/>
  <c r="AD53" i="12"/>
  <c r="AD54" i="12"/>
  <c r="AD55" i="12"/>
  <c r="AD56" i="12"/>
  <c r="AD57" i="12"/>
  <c r="AD58" i="12"/>
  <c r="AD59" i="12"/>
  <c r="AD60" i="12"/>
  <c r="AD61" i="12"/>
  <c r="AD62" i="12"/>
  <c r="AD63" i="12"/>
  <c r="AD64" i="12"/>
  <c r="AD65" i="12"/>
  <c r="AD66" i="12"/>
  <c r="AD67" i="12"/>
  <c r="AD68" i="12"/>
  <c r="AD69" i="12"/>
  <c r="AD70" i="12"/>
  <c r="AD71" i="12"/>
  <c r="AD72" i="12"/>
  <c r="AD73" i="12"/>
  <c r="AD74" i="12"/>
  <c r="AD75" i="12"/>
  <c r="AD76" i="12"/>
  <c r="AD77" i="12"/>
  <c r="AD78" i="12"/>
  <c r="AD79" i="12"/>
  <c r="AD80" i="12"/>
  <c r="AD81" i="12"/>
  <c r="AD82" i="12"/>
  <c r="AD83" i="12"/>
  <c r="AD84" i="12"/>
  <c r="AD85" i="12"/>
  <c r="AD86" i="12"/>
  <c r="AD87" i="12"/>
  <c r="AD88" i="12"/>
  <c r="AD89" i="12"/>
  <c r="AD90" i="12"/>
  <c r="AD91" i="12"/>
  <c r="AD92" i="12"/>
  <c r="AD93" i="12"/>
  <c r="AD94" i="12"/>
  <c r="AD95" i="12"/>
  <c r="AD96" i="12"/>
  <c r="AD97" i="12"/>
  <c r="AD98" i="12"/>
  <c r="AD99" i="12"/>
  <c r="AD100" i="12"/>
  <c r="AD101" i="12"/>
  <c r="AD102" i="12"/>
  <c r="AD103" i="12"/>
  <c r="AD11" i="12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42" i="11"/>
  <c r="AD43" i="11"/>
  <c r="AD44" i="11"/>
  <c r="AD45" i="11"/>
  <c r="AD46" i="11"/>
  <c r="AD47" i="11"/>
  <c r="AD48" i="11"/>
  <c r="AD49" i="11"/>
  <c r="AD50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72" i="11"/>
  <c r="AD73" i="11"/>
  <c r="AD74" i="11"/>
  <c r="AD75" i="11"/>
  <c r="AD76" i="11"/>
  <c r="AD77" i="11"/>
  <c r="AD78" i="11"/>
  <c r="AD79" i="11"/>
  <c r="AD80" i="11"/>
  <c r="AD81" i="11"/>
  <c r="AD82" i="11"/>
  <c r="AD83" i="11"/>
  <c r="AD84" i="11"/>
  <c r="AD85" i="11"/>
  <c r="AD86" i="11"/>
  <c r="AD87" i="11"/>
  <c r="AD88" i="11"/>
  <c r="AD89" i="11"/>
  <c r="AD90" i="11"/>
  <c r="AD91" i="11"/>
  <c r="AD92" i="11"/>
  <c r="AD93" i="11"/>
  <c r="AD94" i="11"/>
  <c r="AD95" i="11"/>
  <c r="AD96" i="11"/>
  <c r="AD97" i="11"/>
  <c r="AD98" i="11"/>
  <c r="AD99" i="11"/>
  <c r="AD100" i="11"/>
  <c r="AD101" i="11"/>
  <c r="AD102" i="11"/>
  <c r="AD103" i="11"/>
  <c r="AD11" i="11"/>
  <c r="AD12" i="18"/>
  <c r="AD13" i="18"/>
  <c r="AD14" i="18"/>
  <c r="AD15" i="18"/>
  <c r="AD16" i="18"/>
  <c r="AD17" i="18"/>
  <c r="AD18" i="18"/>
  <c r="AD19" i="18"/>
  <c r="AD20" i="18"/>
  <c r="AD21" i="18"/>
  <c r="AD22" i="18"/>
  <c r="AD23" i="18"/>
  <c r="AD24" i="18"/>
  <c r="AD25" i="18"/>
  <c r="AD26" i="18"/>
  <c r="AD27" i="18"/>
  <c r="AD28" i="18"/>
  <c r="AD29" i="18"/>
  <c r="AD30" i="18"/>
  <c r="AD31" i="18"/>
  <c r="AD32" i="18"/>
  <c r="AD33" i="18"/>
  <c r="AD34" i="18"/>
  <c r="AD35" i="18"/>
  <c r="AD36" i="18"/>
  <c r="AD37" i="18"/>
  <c r="AD38" i="18"/>
  <c r="AD39" i="18"/>
  <c r="AD40" i="18"/>
  <c r="AD41" i="18"/>
  <c r="AD42" i="18"/>
  <c r="AD43" i="18"/>
  <c r="AD44" i="18"/>
  <c r="AD45" i="18"/>
  <c r="AD46" i="18"/>
  <c r="AD47" i="18"/>
  <c r="AD48" i="18"/>
  <c r="AD49" i="18"/>
  <c r="AD50" i="18"/>
  <c r="AD51" i="18"/>
  <c r="AD52" i="18"/>
  <c r="AD53" i="18"/>
  <c r="AD54" i="18"/>
  <c r="AD55" i="18"/>
  <c r="AD56" i="18"/>
  <c r="AD57" i="18"/>
  <c r="AD58" i="18"/>
  <c r="AD59" i="18"/>
  <c r="AD60" i="18"/>
  <c r="AD61" i="18"/>
  <c r="AD62" i="18"/>
  <c r="AD63" i="18"/>
  <c r="AD64" i="18"/>
  <c r="AD65" i="18"/>
  <c r="AD66" i="18"/>
  <c r="AD67" i="18"/>
  <c r="AD68" i="18"/>
  <c r="AD69" i="18"/>
  <c r="AD70" i="18"/>
  <c r="AD71" i="18"/>
  <c r="AD72" i="18"/>
  <c r="AD73" i="18"/>
  <c r="AD74" i="18"/>
  <c r="AD75" i="18"/>
  <c r="AD76" i="18"/>
  <c r="AD77" i="18"/>
  <c r="AD78" i="18"/>
  <c r="AD79" i="18"/>
  <c r="AD80" i="18"/>
  <c r="AD81" i="18"/>
  <c r="AD82" i="18"/>
  <c r="AD83" i="18"/>
  <c r="AD84" i="18"/>
  <c r="AD85" i="18"/>
  <c r="AD86" i="18"/>
  <c r="AD87" i="18"/>
  <c r="AD88" i="18"/>
  <c r="AD89" i="18"/>
  <c r="AD90" i="18"/>
  <c r="AD91" i="18"/>
  <c r="AD92" i="18"/>
  <c r="AD93" i="18"/>
  <c r="AD94" i="18"/>
  <c r="AD95" i="18"/>
  <c r="AD96" i="18"/>
  <c r="AD97" i="18"/>
  <c r="AD98" i="18"/>
  <c r="AD99" i="18"/>
  <c r="AD100" i="18"/>
  <c r="AD101" i="18"/>
  <c r="AD102" i="18"/>
  <c r="AD103" i="18"/>
  <c r="AD11" i="18"/>
  <c r="AD13" i="17"/>
  <c r="AD14" i="17"/>
  <c r="AD15" i="17"/>
  <c r="AD16" i="17"/>
  <c r="AD17" i="17"/>
  <c r="AD18" i="17"/>
  <c r="AD19" i="17"/>
  <c r="AD20" i="17"/>
  <c r="AD21" i="17"/>
  <c r="AD22" i="17"/>
  <c r="AD23" i="17"/>
  <c r="AD24" i="17"/>
  <c r="AD25" i="17"/>
  <c r="AD26" i="17"/>
  <c r="AD27" i="17"/>
  <c r="AD28" i="17"/>
  <c r="AD29" i="17"/>
  <c r="AD30" i="17"/>
  <c r="AD31" i="17"/>
  <c r="AD32" i="17"/>
  <c r="AD33" i="17"/>
  <c r="AD34" i="17"/>
  <c r="AD35" i="17"/>
  <c r="AD36" i="17"/>
  <c r="AD37" i="17"/>
  <c r="AD38" i="17"/>
  <c r="AD39" i="17"/>
  <c r="AD40" i="17"/>
  <c r="AD41" i="17"/>
  <c r="AD42" i="17"/>
  <c r="AD43" i="17"/>
  <c r="AD44" i="17"/>
  <c r="AD45" i="17"/>
  <c r="AD46" i="17"/>
  <c r="AD47" i="17"/>
  <c r="AD48" i="17"/>
  <c r="AD49" i="17"/>
  <c r="AD50" i="17"/>
  <c r="AD51" i="17"/>
  <c r="AD52" i="17"/>
  <c r="AD53" i="17"/>
  <c r="AD54" i="17"/>
  <c r="AD55" i="17"/>
  <c r="AD56" i="17"/>
  <c r="AD57" i="17"/>
  <c r="AD58" i="17"/>
  <c r="AD59" i="17"/>
  <c r="AD60" i="17"/>
  <c r="AD61" i="17"/>
  <c r="AD62" i="17"/>
  <c r="AD63" i="17"/>
  <c r="AD64" i="17"/>
  <c r="AD65" i="17"/>
  <c r="AD66" i="17"/>
  <c r="AD67" i="17"/>
  <c r="AD68" i="17"/>
  <c r="AD69" i="17"/>
  <c r="AD70" i="17"/>
  <c r="AD71" i="17"/>
  <c r="AD72" i="17"/>
  <c r="AD73" i="17"/>
  <c r="AD74" i="17"/>
  <c r="AD75" i="17"/>
  <c r="AD76" i="17"/>
  <c r="AD77" i="17"/>
  <c r="AD78" i="17"/>
  <c r="AD79" i="17"/>
  <c r="AD80" i="17"/>
  <c r="AD81" i="17"/>
  <c r="AD82" i="17"/>
  <c r="AD83" i="17"/>
  <c r="AD84" i="17"/>
  <c r="AD85" i="17"/>
  <c r="AD86" i="17"/>
  <c r="AD87" i="17"/>
  <c r="AD88" i="17"/>
  <c r="AD89" i="17"/>
  <c r="AD90" i="17"/>
  <c r="AD91" i="17"/>
  <c r="AD92" i="17"/>
  <c r="AD93" i="17"/>
  <c r="AD94" i="17"/>
  <c r="AD95" i="17"/>
  <c r="AD96" i="17"/>
  <c r="AD97" i="17"/>
  <c r="AD98" i="17"/>
  <c r="AD99" i="17"/>
  <c r="AD100" i="17"/>
  <c r="AD101" i="17"/>
  <c r="AD102" i="17"/>
  <c r="AD103" i="17"/>
  <c r="AD12" i="17"/>
  <c r="AD11" i="17"/>
  <c r="AE23" i="19"/>
  <c r="AE24" i="19"/>
  <c r="AE25" i="19"/>
  <c r="AE26" i="19"/>
  <c r="AE27" i="19"/>
  <c r="AE28" i="19"/>
  <c r="AE29" i="19"/>
  <c r="AE30" i="19"/>
  <c r="AE31" i="19"/>
  <c r="AE32" i="19"/>
  <c r="AE33" i="19"/>
  <c r="AE34" i="19"/>
  <c r="AE35" i="19"/>
  <c r="AE36" i="19"/>
  <c r="AE37" i="19"/>
  <c r="AE38" i="19"/>
  <c r="AE39" i="19"/>
  <c r="AE40" i="19"/>
  <c r="AE41" i="19"/>
  <c r="AE42" i="19"/>
  <c r="AE43" i="19"/>
  <c r="AE44" i="19"/>
  <c r="AE45" i="19"/>
  <c r="AE46" i="19"/>
  <c r="AE47" i="19"/>
  <c r="AE48" i="19"/>
  <c r="AE49" i="19"/>
  <c r="AE50" i="19"/>
  <c r="AE51" i="19"/>
  <c r="AE52" i="19"/>
  <c r="AE53" i="19"/>
  <c r="AE54" i="19"/>
  <c r="AE55" i="19"/>
  <c r="AE56" i="19"/>
  <c r="AE57" i="19"/>
  <c r="AE58" i="19"/>
  <c r="AE59" i="19"/>
  <c r="AE60" i="19"/>
  <c r="AE61" i="19"/>
  <c r="AE62" i="19"/>
  <c r="AE63" i="19"/>
  <c r="AE64" i="19"/>
  <c r="AE65" i="19"/>
  <c r="AE66" i="19"/>
  <c r="AE67" i="19"/>
  <c r="AE68" i="19"/>
  <c r="AE69" i="19"/>
  <c r="AE70" i="19"/>
  <c r="AE71" i="19"/>
  <c r="AE72" i="19"/>
  <c r="AE73" i="19"/>
  <c r="AE74" i="19"/>
  <c r="AE75" i="19"/>
  <c r="AE76" i="19"/>
  <c r="AE77" i="19"/>
  <c r="AE78" i="19"/>
  <c r="AE79" i="19"/>
  <c r="AE80" i="19"/>
  <c r="AE81" i="19"/>
  <c r="AE82" i="19"/>
  <c r="AE83" i="19"/>
  <c r="AE84" i="19"/>
  <c r="AE85" i="19"/>
  <c r="AE86" i="19"/>
  <c r="AE87" i="19"/>
  <c r="AE88" i="19"/>
  <c r="AE89" i="19"/>
  <c r="AE90" i="19"/>
  <c r="AE91" i="19"/>
  <c r="AE92" i="19"/>
  <c r="AE93" i="19"/>
  <c r="AE94" i="19"/>
  <c r="AE95" i="19"/>
  <c r="AE96" i="19"/>
  <c r="AE97" i="19"/>
  <c r="AE98" i="19"/>
  <c r="AE99" i="19"/>
  <c r="AE100" i="19"/>
  <c r="AE101" i="19"/>
  <c r="AE102" i="19"/>
  <c r="AE103" i="19"/>
  <c r="AE12" i="19"/>
  <c r="AE13" i="19"/>
  <c r="AE14" i="19"/>
  <c r="AE15" i="19"/>
  <c r="AE16" i="19"/>
  <c r="AE17" i="19"/>
  <c r="AE18" i="19"/>
  <c r="AE19" i="19"/>
  <c r="AE20" i="19"/>
  <c r="AE21" i="19"/>
  <c r="AE22" i="19"/>
  <c r="AE11" i="19"/>
  <c r="AD12" i="19"/>
  <c r="AD13" i="19"/>
  <c r="AD14" i="19"/>
  <c r="AD15" i="19"/>
  <c r="AD16" i="19"/>
  <c r="AD17" i="19"/>
  <c r="AD18" i="19"/>
  <c r="AD19" i="19"/>
  <c r="AD20" i="19"/>
  <c r="AD21" i="19"/>
  <c r="AD22" i="19"/>
  <c r="AD23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AD58" i="19"/>
  <c r="AD59" i="19"/>
  <c r="AD60" i="19"/>
  <c r="AD61" i="19"/>
  <c r="AD62" i="19"/>
  <c r="AD63" i="19"/>
  <c r="AD64" i="19"/>
  <c r="AD65" i="19"/>
  <c r="AD66" i="19"/>
  <c r="AD67" i="19"/>
  <c r="AD68" i="19"/>
  <c r="AD69" i="19"/>
  <c r="AD70" i="19"/>
  <c r="AD71" i="19"/>
  <c r="AD72" i="19"/>
  <c r="AD73" i="19"/>
  <c r="AD74" i="19"/>
  <c r="AD75" i="19"/>
  <c r="AD76" i="19"/>
  <c r="AD77" i="19"/>
  <c r="AD78" i="19"/>
  <c r="AD79" i="19"/>
  <c r="AD80" i="19"/>
  <c r="AD81" i="19"/>
  <c r="AD82" i="19"/>
  <c r="AD83" i="19"/>
  <c r="AD84" i="19"/>
  <c r="AD85" i="19"/>
  <c r="AD86" i="19"/>
  <c r="AD87" i="19"/>
  <c r="AD88" i="19"/>
  <c r="AD89" i="19"/>
  <c r="AD90" i="19"/>
  <c r="AD91" i="19"/>
  <c r="AD92" i="19"/>
  <c r="AD93" i="19"/>
  <c r="AD94" i="19"/>
  <c r="AD95" i="19"/>
  <c r="AD96" i="19"/>
  <c r="AD97" i="19"/>
  <c r="AD98" i="19"/>
  <c r="AD99" i="19"/>
  <c r="AD100" i="19"/>
  <c r="AD101" i="19"/>
  <c r="AD102" i="19"/>
  <c r="AD103" i="19"/>
  <c r="AD11" i="1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E12" i="9"/>
  <c r="AE13" i="9"/>
  <c r="AE14" i="9"/>
  <c r="AE15" i="9"/>
  <c r="AE16" i="9"/>
  <c r="AE17" i="9"/>
  <c r="AE18" i="9"/>
  <c r="AE19" i="9"/>
  <c r="AE20" i="9"/>
  <c r="AE21" i="9"/>
  <c r="AE22" i="9"/>
  <c r="AE23" i="9"/>
  <c r="AE24" i="9"/>
  <c r="AE25" i="9"/>
  <c r="AE26" i="9"/>
  <c r="AE27" i="9"/>
  <c r="AE28" i="9"/>
  <c r="AE29" i="9"/>
  <c r="AE30" i="9"/>
  <c r="AE31" i="9"/>
  <c r="AE32" i="9"/>
  <c r="AE33" i="9"/>
  <c r="AE34" i="9"/>
  <c r="AE35" i="9"/>
  <c r="AE36" i="9"/>
  <c r="AE37" i="9"/>
  <c r="AE38" i="9"/>
  <c r="AE39" i="9"/>
  <c r="AE40" i="9"/>
  <c r="AE41" i="9"/>
  <c r="AE42" i="9"/>
  <c r="AE43" i="9"/>
  <c r="AE44" i="9"/>
  <c r="AE45" i="9"/>
  <c r="AE46" i="9"/>
  <c r="AE47" i="9"/>
  <c r="AE48" i="9"/>
  <c r="AE49" i="9"/>
  <c r="AE50" i="9"/>
  <c r="AE51" i="9"/>
  <c r="AE52" i="9"/>
  <c r="AE53" i="9"/>
  <c r="AE54" i="9"/>
  <c r="AE55" i="9"/>
  <c r="AE56" i="9"/>
  <c r="AE57" i="9"/>
  <c r="AE58" i="9"/>
  <c r="AE59" i="9"/>
  <c r="AE60" i="9"/>
  <c r="AE61" i="9"/>
  <c r="AE62" i="9"/>
  <c r="AE63" i="9"/>
  <c r="AE64" i="9"/>
  <c r="AE65" i="9"/>
  <c r="AE66" i="9"/>
  <c r="AE67" i="9"/>
  <c r="AE68" i="9"/>
  <c r="AE69" i="9"/>
  <c r="AE70" i="9"/>
  <c r="AE71" i="9"/>
  <c r="AE72" i="9"/>
  <c r="AE73" i="9"/>
  <c r="AE74" i="9"/>
  <c r="AE75" i="9"/>
  <c r="AE76" i="9"/>
  <c r="AE77" i="9"/>
  <c r="AE78" i="9"/>
  <c r="AE79" i="9"/>
  <c r="AE80" i="9"/>
  <c r="AE81" i="9"/>
  <c r="AE82" i="9"/>
  <c r="AE83" i="9"/>
  <c r="AE84" i="9"/>
  <c r="AE85" i="9"/>
  <c r="AE86" i="9"/>
  <c r="AE87" i="9"/>
  <c r="AE89" i="9"/>
  <c r="AE90" i="9"/>
  <c r="AE91" i="9"/>
  <c r="AE92" i="9"/>
  <c r="AE93" i="9"/>
  <c r="AE94" i="9"/>
  <c r="AE95" i="9"/>
  <c r="AE96" i="9"/>
  <c r="AE97" i="9"/>
  <c r="AE98" i="9"/>
  <c r="AE99" i="9"/>
  <c r="AE100" i="9"/>
  <c r="AE101" i="9"/>
  <c r="AE102" i="9"/>
  <c r="AE103" i="9"/>
  <c r="AE104" i="9"/>
  <c r="AE11" i="9"/>
  <c r="AD11" i="9"/>
  <c r="D7" i="1" l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AC7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AC6" i="1"/>
  <c r="C6" i="1"/>
  <c r="C7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AC8" i="1"/>
  <c r="C8" i="1"/>
  <c r="AC7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C6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C6" i="2"/>
  <c r="C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C8" i="2"/>
  <c r="C8" i="2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AC6" i="4"/>
  <c r="A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AC8" i="4"/>
  <c r="C6" i="4"/>
  <c r="C7" i="4"/>
  <c r="C8" i="4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AC6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AC7" i="3"/>
  <c r="C6" i="3"/>
  <c r="C7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AC8" i="3"/>
  <c r="C8" i="3"/>
  <c r="D6" i="8"/>
  <c r="E6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AC6" i="8"/>
  <c r="D7" i="8"/>
  <c r="E7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AC7" i="8"/>
  <c r="C6" i="8"/>
  <c r="C7" i="8"/>
  <c r="D8" i="8"/>
  <c r="E8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AC8" i="8"/>
  <c r="C8" i="8"/>
  <c r="D6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AC6" i="7"/>
  <c r="D7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AC7" i="7"/>
  <c r="C6" i="7"/>
  <c r="C7" i="7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AC8" i="7"/>
  <c r="C8" i="7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AC6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AC7" i="6"/>
  <c r="C6" i="6"/>
  <c r="C7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AC8" i="6"/>
  <c r="C8" i="6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AC7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AC6" i="5"/>
  <c r="C6" i="5"/>
  <c r="C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AC8" i="5"/>
  <c r="C8" i="5"/>
  <c r="D8" i="16"/>
  <c r="E8" i="16"/>
  <c r="F8" i="16"/>
  <c r="G8" i="16"/>
  <c r="H8" i="16"/>
  <c r="I8" i="16"/>
  <c r="J8" i="16"/>
  <c r="K8" i="16"/>
  <c r="L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AC8" i="16"/>
  <c r="D7" i="16"/>
  <c r="E7" i="16"/>
  <c r="F7" i="16"/>
  <c r="G7" i="16"/>
  <c r="H7" i="16"/>
  <c r="I7" i="16"/>
  <c r="J7" i="16"/>
  <c r="K7" i="16"/>
  <c r="L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AC7" i="16"/>
  <c r="D6" i="16"/>
  <c r="E6" i="16"/>
  <c r="F6" i="16"/>
  <c r="G6" i="16"/>
  <c r="H6" i="16"/>
  <c r="I6" i="16"/>
  <c r="J6" i="16"/>
  <c r="K6" i="16"/>
  <c r="L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AC6" i="16"/>
  <c r="C6" i="16"/>
  <c r="C7" i="16"/>
  <c r="C8" i="16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AC6" i="15"/>
  <c r="C6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AC7" i="15"/>
  <c r="C7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AC8" i="15"/>
  <c r="C8" i="15"/>
  <c r="D7" i="12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AC6" i="14"/>
  <c r="C6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AC7" i="14"/>
  <c r="C7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AC8" i="14"/>
  <c r="C8" i="14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U6" i="13"/>
  <c r="V6" i="13"/>
  <c r="W6" i="13"/>
  <c r="X6" i="13"/>
  <c r="Y6" i="13"/>
  <c r="AC6" i="13"/>
  <c r="C6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AC7" i="13"/>
  <c r="C7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AC8" i="13"/>
  <c r="C8" i="13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AC6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AC7" i="12"/>
  <c r="C7" i="12"/>
  <c r="C43" i="22" s="1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AC8" i="12"/>
  <c r="C6" i="12"/>
  <c r="C8" i="12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AC6" i="11"/>
  <c r="C6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AC7" i="11"/>
  <c r="C7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AC8" i="11"/>
  <c r="C8" i="11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AC6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AC7" i="10"/>
  <c r="C6" i="10"/>
  <c r="C7" i="10"/>
  <c r="D8" i="10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AC8" i="10"/>
  <c r="C8" i="10"/>
  <c r="A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C6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AC8" i="9"/>
  <c r="C8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AC7" i="9"/>
  <c r="C7" i="9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V6" i="18"/>
  <c r="W6" i="18"/>
  <c r="X6" i="18"/>
  <c r="Y6" i="18"/>
  <c r="AC6" i="18"/>
  <c r="C7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AC8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AC7" i="18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AB8" i="17"/>
  <c r="AC8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AB7" i="17"/>
  <c r="AC7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AB6" i="17"/>
  <c r="AC6" i="17"/>
  <c r="C7" i="17"/>
  <c r="C6" i="17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AC6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AC8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AC7" i="19"/>
  <c r="C7" i="19"/>
  <c r="C8" i="19"/>
  <c r="Z57" i="22" l="1"/>
  <c r="Z9" i="17"/>
  <c r="Z58" i="22"/>
  <c r="Z59" i="22"/>
  <c r="D43" i="22"/>
  <c r="C8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AA62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AA61" i="22"/>
  <c r="D60" i="22"/>
  <c r="E60" i="22"/>
  <c r="F60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AA60" i="22"/>
  <c r="C61" i="22"/>
  <c r="C62" i="22"/>
  <c r="C60" i="22"/>
  <c r="AA58" i="22"/>
  <c r="D59" i="22"/>
  <c r="E59" i="22"/>
  <c r="F59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AA59" i="22"/>
  <c r="D58" i="22"/>
  <c r="E58" i="22"/>
  <c r="F58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Y58" i="22"/>
  <c r="D57" i="22"/>
  <c r="E57" i="22"/>
  <c r="F57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Y57" i="22"/>
  <c r="AA57" i="22"/>
  <c r="C58" i="22"/>
  <c r="C59" i="22"/>
  <c r="C57" i="22"/>
  <c r="D56" i="22"/>
  <c r="E56" i="22"/>
  <c r="F56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Y56" i="22"/>
  <c r="AA56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AA55" i="22"/>
  <c r="D54" i="22"/>
  <c r="E54" i="22"/>
  <c r="F54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AA54" i="22"/>
  <c r="D53" i="22"/>
  <c r="E53" i="22"/>
  <c r="F53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AA53" i="22"/>
  <c r="D52" i="22"/>
  <c r="E52" i="22"/>
  <c r="F52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AA52" i="22"/>
  <c r="D51" i="22"/>
  <c r="E51" i="22"/>
  <c r="F51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AA51" i="22"/>
  <c r="C52" i="22"/>
  <c r="C53" i="22"/>
  <c r="C51" i="22"/>
  <c r="D50" i="22"/>
  <c r="E50" i="22"/>
  <c r="F50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AA50" i="22"/>
  <c r="D49" i="22"/>
  <c r="E49" i="22"/>
  <c r="F49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AA49" i="22"/>
  <c r="D48" i="22"/>
  <c r="E48" i="22"/>
  <c r="F48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AA48" i="22"/>
  <c r="C49" i="22"/>
  <c r="C50" i="22"/>
  <c r="C48" i="22"/>
  <c r="D47" i="22"/>
  <c r="E47" i="22"/>
  <c r="F47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AA47" i="22"/>
  <c r="D46" i="22"/>
  <c r="E46" i="22"/>
  <c r="F46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AA46" i="22"/>
  <c r="D45" i="22"/>
  <c r="E45" i="22"/>
  <c r="F45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AA45" i="22"/>
  <c r="C46" i="22"/>
  <c r="C47" i="22"/>
  <c r="C45" i="22"/>
  <c r="D44" i="22"/>
  <c r="E44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AA44" i="22"/>
  <c r="E43" i="22"/>
  <c r="F43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AA43" i="22"/>
  <c r="D42" i="22"/>
  <c r="E42" i="22"/>
  <c r="F42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AA42" i="22"/>
  <c r="C44" i="22"/>
  <c r="C42" i="22"/>
  <c r="D41" i="22"/>
  <c r="E41" i="22"/>
  <c r="F41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Y41" i="22"/>
  <c r="AA41" i="22"/>
  <c r="D40" i="22"/>
  <c r="E40" i="22"/>
  <c r="F40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Y40" i="22"/>
  <c r="AA40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AA39" i="22"/>
  <c r="C40" i="22"/>
  <c r="C41" i="22"/>
  <c r="C39" i="22"/>
  <c r="X38" i="22"/>
  <c r="Y38" i="22"/>
  <c r="AA38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AA37" i="22"/>
  <c r="D36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AA36" i="22"/>
  <c r="C37" i="22"/>
  <c r="C38" i="22"/>
  <c r="C36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AA35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AA34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R33" i="22"/>
  <c r="S33" i="22"/>
  <c r="T33" i="22"/>
  <c r="U33" i="22"/>
  <c r="V33" i="22"/>
  <c r="W33" i="22"/>
  <c r="X33" i="22"/>
  <c r="Y33" i="22"/>
  <c r="AA33" i="22"/>
  <c r="C34" i="22"/>
  <c r="C35" i="22"/>
  <c r="C33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Y32" i="22"/>
  <c r="AA32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AA31" i="22"/>
  <c r="C31" i="22"/>
  <c r="C32" i="22"/>
  <c r="D30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AA30" i="22"/>
  <c r="C30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AA29" i="22"/>
  <c r="D28" i="22"/>
  <c r="E28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R28" i="22"/>
  <c r="S28" i="22"/>
  <c r="T28" i="22"/>
  <c r="U28" i="22"/>
  <c r="V28" i="22"/>
  <c r="W28" i="22"/>
  <c r="X28" i="22"/>
  <c r="Y28" i="22"/>
  <c r="AA28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U27" i="22"/>
  <c r="V27" i="22"/>
  <c r="W27" i="22"/>
  <c r="X27" i="22"/>
  <c r="Y27" i="22"/>
  <c r="AA27" i="22"/>
  <c r="C28" i="22"/>
  <c r="C29" i="22"/>
  <c r="C27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AA26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AA25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AA24" i="22"/>
  <c r="C25" i="22"/>
  <c r="C26" i="22"/>
  <c r="C24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Y23" i="22"/>
  <c r="AA23" i="22"/>
  <c r="D22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Y22" i="22"/>
  <c r="AA22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AA21" i="22"/>
  <c r="C22" i="22"/>
  <c r="C23" i="22"/>
  <c r="C21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AA20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S19" i="22"/>
  <c r="T19" i="22"/>
  <c r="U19" i="22"/>
  <c r="V19" i="22"/>
  <c r="W19" i="22"/>
  <c r="X19" i="22"/>
  <c r="Y19" i="22"/>
  <c r="AA19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U18" i="22"/>
  <c r="V18" i="22"/>
  <c r="W18" i="22"/>
  <c r="X18" i="22"/>
  <c r="Y18" i="22"/>
  <c r="AA18" i="22"/>
  <c r="C19" i="22"/>
  <c r="C20" i="22"/>
  <c r="C18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U17" i="22"/>
  <c r="V17" i="22"/>
  <c r="W17" i="22"/>
  <c r="X17" i="22"/>
  <c r="Y17" i="22"/>
  <c r="AA17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U16" i="22"/>
  <c r="V16" i="22"/>
  <c r="W16" i="22"/>
  <c r="X16" i="22"/>
  <c r="Y16" i="22"/>
  <c r="AA16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U15" i="22"/>
  <c r="V15" i="22"/>
  <c r="W15" i="22"/>
  <c r="X15" i="22"/>
  <c r="Y15" i="22"/>
  <c r="AA15" i="22"/>
  <c r="C16" i="22"/>
  <c r="C17" i="22"/>
  <c r="C15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R14" i="22"/>
  <c r="S14" i="22"/>
  <c r="T14" i="22"/>
  <c r="U14" i="22"/>
  <c r="V14" i="22"/>
  <c r="W14" i="22"/>
  <c r="X14" i="22"/>
  <c r="Y14" i="22"/>
  <c r="AA14" i="22"/>
  <c r="AB70" i="22"/>
  <c r="AB75" i="22"/>
  <c r="AB78" i="22"/>
  <c r="AB86" i="22"/>
  <c r="AB91" i="22"/>
  <c r="AB94" i="22"/>
  <c r="AB115" i="22"/>
  <c r="AB118" i="22"/>
  <c r="AB123" i="22"/>
  <c r="AB131" i="22"/>
  <c r="AB134" i="22"/>
  <c r="AB142" i="22"/>
  <c r="D13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U13" i="22"/>
  <c r="V13" i="22"/>
  <c r="W13" i="22"/>
  <c r="X13" i="22"/>
  <c r="Y13" i="22"/>
  <c r="AA13" i="22"/>
  <c r="C13" i="22"/>
  <c r="C14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U12" i="22"/>
  <c r="V12" i="22"/>
  <c r="W12" i="22"/>
  <c r="X12" i="22"/>
  <c r="Y12" i="22"/>
  <c r="AA12" i="22"/>
  <c r="C12" i="22"/>
  <c r="D11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U11" i="22"/>
  <c r="V11" i="22"/>
  <c r="W11" i="22"/>
  <c r="X11" i="22"/>
  <c r="Y11" i="22"/>
  <c r="AA11" i="22"/>
  <c r="D10" i="22"/>
  <c r="E10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R10" i="22"/>
  <c r="S10" i="22"/>
  <c r="T10" i="22"/>
  <c r="U10" i="22"/>
  <c r="V10" i="22"/>
  <c r="W10" i="22"/>
  <c r="X10" i="22"/>
  <c r="Y10" i="22"/>
  <c r="AA10" i="22"/>
  <c r="C10" i="22"/>
  <c r="C11" i="22"/>
  <c r="E9" i="22"/>
  <c r="F9" i="22"/>
  <c r="G9" i="22"/>
  <c r="H9" i="22"/>
  <c r="I9" i="22"/>
  <c r="J9" i="22"/>
  <c r="K9" i="22"/>
  <c r="L9" i="22"/>
  <c r="M9" i="22"/>
  <c r="N9" i="22"/>
  <c r="O9" i="22"/>
  <c r="P9" i="22"/>
  <c r="Q9" i="22"/>
  <c r="R9" i="22"/>
  <c r="S9" i="22"/>
  <c r="T9" i="22"/>
  <c r="U9" i="22"/>
  <c r="V9" i="22"/>
  <c r="W9" i="22"/>
  <c r="X9" i="22"/>
  <c r="Y9" i="22"/>
  <c r="AA9" i="22"/>
  <c r="D9" i="22"/>
  <c r="C9" i="22"/>
  <c r="F8" i="22"/>
  <c r="G8" i="22"/>
  <c r="H8" i="22"/>
  <c r="I8" i="22"/>
  <c r="J8" i="22"/>
  <c r="K8" i="22"/>
  <c r="L8" i="22"/>
  <c r="M8" i="22"/>
  <c r="N8" i="22"/>
  <c r="O8" i="22"/>
  <c r="P8" i="22"/>
  <c r="AA7" i="22"/>
  <c r="AA8" i="22"/>
  <c r="Y7" i="22"/>
  <c r="Y8" i="22"/>
  <c r="X7" i="22"/>
  <c r="X8" i="22"/>
  <c r="W7" i="22"/>
  <c r="W8" i="22"/>
  <c r="V7" i="22"/>
  <c r="V8" i="22"/>
  <c r="U7" i="22"/>
  <c r="U8" i="22"/>
  <c r="AC63" i="22"/>
  <c r="AC65" i="22"/>
  <c r="AC70" i="22"/>
  <c r="AC71" i="22"/>
  <c r="AC73" i="22"/>
  <c r="AC78" i="22"/>
  <c r="AC79" i="22"/>
  <c r="AC81" i="22"/>
  <c r="AC86" i="22"/>
  <c r="AC87" i="22"/>
  <c r="AC89" i="22"/>
  <c r="AC94" i="22"/>
  <c r="AC95" i="22"/>
  <c r="AC97" i="22"/>
  <c r="AC102" i="22"/>
  <c r="AC103" i="22"/>
  <c r="AC105" i="22"/>
  <c r="AC110" i="22"/>
  <c r="AC111" i="22"/>
  <c r="AC113" i="22"/>
  <c r="AC119" i="22"/>
  <c r="AC121" i="22"/>
  <c r="AC126" i="22"/>
  <c r="AC127" i="22"/>
  <c r="AC129" i="22"/>
  <c r="AD129" i="22" s="1"/>
  <c r="AC135" i="22"/>
  <c r="AC137" i="22"/>
  <c r="AC143" i="22"/>
  <c r="AC145" i="22"/>
  <c r="T7" i="22"/>
  <c r="T8" i="22"/>
  <c r="S7" i="22"/>
  <c r="S8" i="22"/>
  <c r="R7" i="22"/>
  <c r="R8" i="22"/>
  <c r="E8" i="22"/>
  <c r="D8" i="22"/>
  <c r="Q8" i="22"/>
  <c r="Q7" i="22"/>
  <c r="P7" i="22"/>
  <c r="O7" i="22"/>
  <c r="N7" i="22"/>
  <c r="M7" i="22"/>
  <c r="L7" i="22"/>
  <c r="K7" i="22"/>
  <c r="J7" i="22"/>
  <c r="I7" i="22"/>
  <c r="H7" i="22"/>
  <c r="G7" i="22"/>
  <c r="F7" i="22"/>
  <c r="P6" i="22"/>
  <c r="Q6" i="22"/>
  <c r="R6" i="22"/>
  <c r="S6" i="22"/>
  <c r="T6" i="22"/>
  <c r="U6" i="22"/>
  <c r="V6" i="22"/>
  <c r="W6" i="22"/>
  <c r="X6" i="22"/>
  <c r="Y6" i="22"/>
  <c r="AA6" i="22"/>
  <c r="O6" i="22"/>
  <c r="N6" i="22"/>
  <c r="M6" i="22"/>
  <c r="L6" i="22"/>
  <c r="K6" i="22"/>
  <c r="J6" i="22"/>
  <c r="I6" i="22"/>
  <c r="H6" i="22"/>
  <c r="G6" i="22"/>
  <c r="F6" i="22"/>
  <c r="D6" i="22"/>
  <c r="E6" i="22"/>
  <c r="E7" i="22"/>
  <c r="D7" i="22"/>
  <c r="C7" i="22"/>
  <c r="C6" i="22"/>
  <c r="AC149" i="22"/>
  <c r="AB149" i="22"/>
  <c r="AC148" i="22"/>
  <c r="AB148" i="22"/>
  <c r="AC147" i="22"/>
  <c r="AB147" i="22"/>
  <c r="AC146" i="22"/>
  <c r="AB146" i="22"/>
  <c r="AB145" i="22"/>
  <c r="AC144" i="22"/>
  <c r="AB144" i="22"/>
  <c r="AC141" i="22"/>
  <c r="AB141" i="22"/>
  <c r="AC140" i="22"/>
  <c r="AB140" i="22"/>
  <c r="AC139" i="22"/>
  <c r="AB139" i="22"/>
  <c r="AC138" i="22"/>
  <c r="AB138" i="22"/>
  <c r="AB137" i="22"/>
  <c r="AC136" i="22"/>
  <c r="AB136" i="22"/>
  <c r="AC133" i="22"/>
  <c r="AB133" i="22"/>
  <c r="AC132" i="22"/>
  <c r="AB132" i="22"/>
  <c r="AC131" i="22"/>
  <c r="AC130" i="22"/>
  <c r="AB130" i="22"/>
  <c r="AB129" i="22"/>
  <c r="AC128" i="22"/>
  <c r="AB128" i="22"/>
  <c r="AC125" i="22"/>
  <c r="AB125" i="22"/>
  <c r="AC124" i="22"/>
  <c r="AB124" i="22"/>
  <c r="AC123" i="22"/>
  <c r="AC122" i="22"/>
  <c r="AB122" i="22"/>
  <c r="AB121" i="22"/>
  <c r="AC120" i="22"/>
  <c r="AD120" i="22" s="1"/>
  <c r="AB120" i="22"/>
  <c r="AC117" i="22"/>
  <c r="AB117" i="22"/>
  <c r="AC116" i="22"/>
  <c r="AB116" i="22"/>
  <c r="AC115" i="22"/>
  <c r="AC114" i="22"/>
  <c r="AB114" i="22"/>
  <c r="AB113" i="22"/>
  <c r="AC112" i="22"/>
  <c r="AB112" i="22"/>
  <c r="AC109" i="22"/>
  <c r="AB109" i="22"/>
  <c r="AC108" i="22"/>
  <c r="AD108" i="22" s="1"/>
  <c r="AB108" i="22"/>
  <c r="AC107" i="22"/>
  <c r="AB107" i="22"/>
  <c r="AC106" i="22"/>
  <c r="AB106" i="22"/>
  <c r="AB105" i="22"/>
  <c r="AC104" i="22"/>
  <c r="AB104" i="22"/>
  <c r="AC101" i="22"/>
  <c r="AB101" i="22"/>
  <c r="AC100" i="22"/>
  <c r="AB100" i="22"/>
  <c r="AC99" i="22"/>
  <c r="AD99" i="22" s="1"/>
  <c r="AB99" i="22"/>
  <c r="AC98" i="22"/>
  <c r="AB98" i="22"/>
  <c r="AB97" i="22"/>
  <c r="AC96" i="22"/>
  <c r="AB96" i="22"/>
  <c r="AC93" i="22"/>
  <c r="AB93" i="22"/>
  <c r="AC92" i="22"/>
  <c r="AB92" i="22"/>
  <c r="AC91" i="22"/>
  <c r="AC90" i="22"/>
  <c r="AD90" i="22" s="1"/>
  <c r="AB90" i="22"/>
  <c r="AB89" i="22"/>
  <c r="AC88" i="22"/>
  <c r="AB88" i="22"/>
  <c r="AC85" i="22"/>
  <c r="AB85" i="22"/>
  <c r="AC84" i="22"/>
  <c r="AB84" i="22"/>
  <c r="AC83" i="22"/>
  <c r="AB83" i="22"/>
  <c r="AC82" i="22"/>
  <c r="AB82" i="22"/>
  <c r="AB81" i="22"/>
  <c r="AC80" i="22"/>
  <c r="AB80" i="22"/>
  <c r="AC77" i="22"/>
  <c r="AB77" i="22"/>
  <c r="AC76" i="22"/>
  <c r="AB76" i="22"/>
  <c r="AC75" i="22"/>
  <c r="AC74" i="22"/>
  <c r="AB74" i="22"/>
  <c r="AB73" i="22"/>
  <c r="AC72" i="22"/>
  <c r="AD72" i="22" s="1"/>
  <c r="AB72" i="22"/>
  <c r="AC69" i="22"/>
  <c r="AD69" i="22" s="1"/>
  <c r="AB69" i="22"/>
  <c r="AC68" i="22"/>
  <c r="AB68" i="22"/>
  <c r="AC67" i="22"/>
  <c r="AB67" i="22"/>
  <c r="AC66" i="22"/>
  <c r="AD66" i="22" s="1"/>
  <c r="AB66" i="22"/>
  <c r="AB65" i="22"/>
  <c r="AC64" i="22"/>
  <c r="AB64" i="22"/>
  <c r="AC19" i="22"/>
  <c r="AD114" i="22" l="1"/>
  <c r="AD105" i="22"/>
  <c r="AD96" i="22"/>
  <c r="AD63" i="22"/>
  <c r="AD144" i="22"/>
  <c r="AD102" i="22"/>
  <c r="AB36" i="22"/>
  <c r="AD135" i="22"/>
  <c r="AE57" i="22"/>
  <c r="AE60" i="22"/>
  <c r="AD138" i="22"/>
  <c r="AD126" i="22"/>
  <c r="AD147" i="22"/>
  <c r="AE6" i="22"/>
  <c r="AD87" i="22"/>
  <c r="AD75" i="22"/>
  <c r="AE12" i="22"/>
  <c r="AE30" i="22"/>
  <c r="AE45" i="22"/>
  <c r="AE48" i="22"/>
  <c r="AE51" i="22"/>
  <c r="AD84" i="22"/>
  <c r="AD93" i="22"/>
  <c r="AD81" i="22"/>
  <c r="AE9" i="22"/>
  <c r="AE42" i="22"/>
  <c r="AD111" i="22"/>
  <c r="AE15" i="22"/>
  <c r="AE18" i="22"/>
  <c r="AE21" i="22"/>
  <c r="AE24" i="22"/>
  <c r="AE27" i="22"/>
  <c r="AE33" i="22"/>
  <c r="AE36" i="22"/>
  <c r="AE39" i="22"/>
  <c r="AD123" i="22"/>
  <c r="AD78" i="22"/>
  <c r="AC10" i="22"/>
  <c r="AC11" i="22"/>
  <c r="AC14" i="22"/>
  <c r="AC15" i="22"/>
  <c r="AC17" i="22"/>
  <c r="AB16" i="22"/>
  <c r="AB26" i="22"/>
  <c r="AC25" i="22"/>
  <c r="AB28" i="22"/>
  <c r="AC27" i="22"/>
  <c r="AC29" i="22"/>
  <c r="AC35" i="22"/>
  <c r="AC34" i="22"/>
  <c r="AC38" i="22"/>
  <c r="AC36" i="22"/>
  <c r="G150" i="22"/>
  <c r="AC45" i="22"/>
  <c r="AC53" i="22"/>
  <c r="O150" i="22"/>
  <c r="AC46" i="22"/>
  <c r="AC18" i="22"/>
  <c r="AC12" i="22"/>
  <c r="AC52" i="22"/>
  <c r="AB48" i="22"/>
  <c r="AC31" i="22"/>
  <c r="AC9" i="22"/>
  <c r="AB10" i="22"/>
  <c r="AB11" i="22"/>
  <c r="AC13" i="22"/>
  <c r="AB15" i="22"/>
  <c r="AC16" i="22"/>
  <c r="AB17" i="22"/>
  <c r="AB18" i="22"/>
  <c r="AB20" i="22"/>
  <c r="AC21" i="22"/>
  <c r="AC22" i="22"/>
  <c r="AB21" i="22"/>
  <c r="AC23" i="22"/>
  <c r="AC24" i="22"/>
  <c r="AD24" i="22" s="1"/>
  <c r="AC26" i="22"/>
  <c r="AC28" i="22"/>
  <c r="AB27" i="22"/>
  <c r="AC32" i="22"/>
  <c r="AB31" i="22"/>
  <c r="AC30" i="22"/>
  <c r="AD30" i="22" s="1"/>
  <c r="AB32" i="22"/>
  <c r="AC33" i="22"/>
  <c r="AD33" i="22" s="1"/>
  <c r="AB33" i="22"/>
  <c r="AB34" i="22"/>
  <c r="W152" i="22"/>
  <c r="G152" i="22"/>
  <c r="AC37" i="22"/>
  <c r="AB37" i="22"/>
  <c r="AC39" i="22"/>
  <c r="W151" i="22"/>
  <c r="O151" i="22"/>
  <c r="AC40" i="22"/>
  <c r="F152" i="22"/>
  <c r="AC41" i="22"/>
  <c r="G151" i="22"/>
  <c r="AC42" i="22"/>
  <c r="AC43" i="22"/>
  <c r="AB44" i="22"/>
  <c r="AC44" i="22"/>
  <c r="AB42" i="22"/>
  <c r="W150" i="22"/>
  <c r="AB45" i="22"/>
  <c r="AC47" i="22"/>
  <c r="AC48" i="22"/>
  <c r="AC49" i="22"/>
  <c r="T152" i="22"/>
  <c r="AC50" i="22"/>
  <c r="AC51" i="22"/>
  <c r="AD51" i="22" s="1"/>
  <c r="AB51" i="22"/>
  <c r="AB53" i="22"/>
  <c r="C55" i="22"/>
  <c r="C151" i="22" s="1"/>
  <c r="AC56" i="22"/>
  <c r="AC55" i="22"/>
  <c r="L151" i="22"/>
  <c r="D151" i="22"/>
  <c r="AB57" i="22"/>
  <c r="AC59" i="22"/>
  <c r="N152" i="22"/>
  <c r="V152" i="22"/>
  <c r="AC58" i="22"/>
  <c r="AC57" i="22"/>
  <c r="AD57" i="22" s="1"/>
  <c r="AB60" i="22"/>
  <c r="AC60" i="22"/>
  <c r="O152" i="22"/>
  <c r="J151" i="22"/>
  <c r="Z151" i="22"/>
  <c r="AC61" i="22"/>
  <c r="AB39" i="22"/>
  <c r="AB12" i="22"/>
  <c r="AC54" i="22"/>
  <c r="AB62" i="22"/>
  <c r="AC62" i="22"/>
  <c r="AB61" i="22"/>
  <c r="AB59" i="22"/>
  <c r="AB58" i="22"/>
  <c r="J152" i="22"/>
  <c r="AB52" i="22"/>
  <c r="AB50" i="22"/>
  <c r="AB49" i="22"/>
  <c r="AB47" i="22"/>
  <c r="P151" i="22"/>
  <c r="AB43" i="22"/>
  <c r="AB41" i="22"/>
  <c r="AB40" i="22"/>
  <c r="V150" i="22"/>
  <c r="AB35" i="22"/>
  <c r="V151" i="22"/>
  <c r="L152" i="22"/>
  <c r="X152" i="22"/>
  <c r="P152" i="22"/>
  <c r="H152" i="22"/>
  <c r="AB29" i="22"/>
  <c r="H151" i="22"/>
  <c r="X151" i="22"/>
  <c r="AB25" i="22"/>
  <c r="AB24" i="22"/>
  <c r="S150" i="22"/>
  <c r="AB23" i="22"/>
  <c r="Y151" i="22"/>
  <c r="AC20" i="22"/>
  <c r="Z152" i="22"/>
  <c r="R152" i="22"/>
  <c r="AB19" i="22"/>
  <c r="T150" i="22"/>
  <c r="AA150" i="22"/>
  <c r="K150" i="22"/>
  <c r="K152" i="22"/>
  <c r="R151" i="22"/>
  <c r="Q151" i="22"/>
  <c r="M150" i="22"/>
  <c r="U152" i="22"/>
  <c r="E152" i="22"/>
  <c r="AA152" i="22"/>
  <c r="Y152" i="22"/>
  <c r="I151" i="22"/>
  <c r="S151" i="22"/>
  <c r="U151" i="22"/>
  <c r="T151" i="22"/>
  <c r="AB13" i="22"/>
  <c r="Y150" i="22"/>
  <c r="Q150" i="22"/>
  <c r="X150" i="22"/>
  <c r="P150" i="22"/>
  <c r="U150" i="22"/>
  <c r="I150" i="22"/>
  <c r="D152" i="22"/>
  <c r="I152" i="22"/>
  <c r="S152" i="22"/>
  <c r="M152" i="22"/>
  <c r="Q152" i="22"/>
  <c r="E151" i="22"/>
  <c r="M151" i="22"/>
  <c r="AA151" i="22"/>
  <c r="F151" i="22"/>
  <c r="N151" i="22"/>
  <c r="K151" i="22"/>
  <c r="Z150" i="22"/>
  <c r="R150" i="22"/>
  <c r="L150" i="22"/>
  <c r="F150" i="22"/>
  <c r="N150" i="22"/>
  <c r="AB9" i="22"/>
  <c r="D150" i="22"/>
  <c r="AB126" i="22"/>
  <c r="AB102" i="22"/>
  <c r="AB110" i="22"/>
  <c r="AB14" i="22"/>
  <c r="AB22" i="22"/>
  <c r="AB30" i="22"/>
  <c r="AB38" i="22"/>
  <c r="AB46" i="22"/>
  <c r="AC118" i="22"/>
  <c r="AD117" i="22" s="1"/>
  <c r="AC134" i="22"/>
  <c r="AD132" i="22" s="1"/>
  <c r="AC142" i="22"/>
  <c r="AD141" i="22" s="1"/>
  <c r="AB63" i="22"/>
  <c r="AB71" i="22"/>
  <c r="AB79" i="22"/>
  <c r="AB87" i="22"/>
  <c r="AB95" i="22"/>
  <c r="AB103" i="22"/>
  <c r="AB111" i="22"/>
  <c r="AB119" i="22"/>
  <c r="AB127" i="22"/>
  <c r="AB135" i="22"/>
  <c r="AB143" i="22"/>
  <c r="E150" i="22"/>
  <c r="AC8" i="22"/>
  <c r="AB8" i="22"/>
  <c r="AC7" i="22"/>
  <c r="AB7" i="22"/>
  <c r="H150" i="22"/>
  <c r="AC6" i="22"/>
  <c r="J150" i="22"/>
  <c r="AB6" i="22"/>
  <c r="AD9" i="22" l="1"/>
  <c r="AD15" i="22"/>
  <c r="AD21" i="22"/>
  <c r="AD27" i="22"/>
  <c r="AD39" i="22"/>
  <c r="AD6" i="22"/>
  <c r="AD60" i="22"/>
  <c r="AD12" i="22"/>
  <c r="AD36" i="22"/>
  <c r="AD45" i="22"/>
  <c r="AD48" i="22"/>
  <c r="AD18" i="22"/>
  <c r="AD42" i="22"/>
  <c r="AD54" i="22"/>
  <c r="C6" i="18"/>
  <c r="AB55" i="22"/>
  <c r="AB151" i="22" s="1"/>
  <c r="C56" i="22"/>
  <c r="AC150" i="22"/>
  <c r="AC151" i="22"/>
  <c r="AC152" i="22"/>
  <c r="C54" i="22" l="1"/>
  <c r="AB56" i="22"/>
  <c r="AB152" i="22" s="1"/>
  <c r="C152" i="22"/>
  <c r="C150" i="22" l="1"/>
  <c r="AE54" i="22"/>
  <c r="AE150" i="22" s="1"/>
  <c r="AB54" i="22"/>
  <c r="AB150" i="22" s="1"/>
  <c r="AE8" i="19" l="1"/>
  <c r="AD8" i="19"/>
  <c r="AE7" i="19"/>
  <c r="AD7" i="19"/>
  <c r="AE6" i="19"/>
  <c r="AD6" i="19"/>
  <c r="AE8" i="18"/>
  <c r="AD8" i="18"/>
  <c r="AE7" i="18"/>
  <c r="AD7" i="18"/>
  <c r="AE6" i="18"/>
  <c r="AD6" i="18"/>
  <c r="AE8" i="17"/>
  <c r="AD8" i="17"/>
  <c r="AE7" i="17"/>
  <c r="AD7" i="17"/>
  <c r="AE6" i="17"/>
  <c r="AD6" i="17"/>
  <c r="AE8" i="16"/>
  <c r="AD8" i="16"/>
  <c r="AE7" i="16"/>
  <c r="AD7" i="16"/>
  <c r="AE6" i="16"/>
  <c r="AD6" i="16"/>
  <c r="AE8" i="15"/>
  <c r="AD8" i="15"/>
  <c r="AE7" i="15"/>
  <c r="AD7" i="15"/>
  <c r="AE6" i="15"/>
  <c r="AD6" i="15"/>
  <c r="AF6" i="15" s="1"/>
  <c r="AE8" i="14"/>
  <c r="AD8" i="14"/>
  <c r="AE7" i="14"/>
  <c r="AD7" i="14"/>
  <c r="AE6" i="14"/>
  <c r="AD6" i="14"/>
  <c r="AE8" i="13"/>
  <c r="AD8" i="13"/>
  <c r="AE7" i="13"/>
  <c r="AD7" i="13"/>
  <c r="AE6" i="13"/>
  <c r="AD6" i="13"/>
  <c r="AE8" i="12"/>
  <c r="AD8" i="12"/>
  <c r="AE7" i="12"/>
  <c r="AD7" i="12"/>
  <c r="AE6" i="12"/>
  <c r="AD6" i="12"/>
  <c r="AE8" i="11"/>
  <c r="AD8" i="11"/>
  <c r="AE7" i="11"/>
  <c r="AD7" i="11"/>
  <c r="AE6" i="11"/>
  <c r="AD6" i="11"/>
  <c r="AE8" i="10"/>
  <c r="AD8" i="10"/>
  <c r="AE7" i="10"/>
  <c r="AD7" i="10"/>
  <c r="AE6" i="10"/>
  <c r="AD6" i="10"/>
  <c r="AE8" i="9"/>
  <c r="AD8" i="9"/>
  <c r="AE7" i="9"/>
  <c r="AD7" i="9"/>
  <c r="AE6" i="9"/>
  <c r="AD6" i="9"/>
  <c r="AE8" i="8"/>
  <c r="AD8" i="8"/>
  <c r="AE7" i="8"/>
  <c r="AD7" i="8"/>
  <c r="AE6" i="8"/>
  <c r="AD6" i="8"/>
  <c r="AE8" i="7"/>
  <c r="AD8" i="7"/>
  <c r="AE7" i="7"/>
  <c r="AD7" i="7"/>
  <c r="AE6" i="7"/>
  <c r="AF6" i="7" s="1"/>
  <c r="AD6" i="7"/>
  <c r="AE8" i="6"/>
  <c r="AD8" i="6"/>
  <c r="AE7" i="6"/>
  <c r="AD7" i="6"/>
  <c r="AE6" i="6"/>
  <c r="AD6" i="6"/>
  <c r="AE8" i="5"/>
  <c r="AD8" i="5"/>
  <c r="AE7" i="5"/>
  <c r="AD7" i="5"/>
  <c r="AE6" i="5"/>
  <c r="AD6" i="5"/>
  <c r="AE8" i="4"/>
  <c r="AD8" i="4"/>
  <c r="AE7" i="4"/>
  <c r="AD7" i="4"/>
  <c r="AE6" i="4"/>
  <c r="AD6" i="4"/>
  <c r="AE8" i="3"/>
  <c r="AD8" i="3"/>
  <c r="AE7" i="3"/>
  <c r="AD7" i="3"/>
  <c r="AE6" i="3"/>
  <c r="AD6" i="3"/>
  <c r="AE8" i="2"/>
  <c r="AD8" i="2"/>
  <c r="AE7" i="2"/>
  <c r="AD7" i="2"/>
  <c r="AE6" i="2"/>
  <c r="AD6" i="2"/>
  <c r="AF6" i="6" l="1"/>
  <c r="AF6" i="4"/>
  <c r="AF6" i="14"/>
  <c r="AF6" i="16"/>
  <c r="AF6" i="2"/>
  <c r="AF6" i="5"/>
  <c r="AF6" i="12"/>
  <c r="AF6" i="13"/>
  <c r="AF6" i="10"/>
  <c r="AF6" i="8"/>
  <c r="AF6" i="11"/>
  <c r="AF6" i="3"/>
  <c r="AF6" i="17"/>
  <c r="AF6" i="18"/>
  <c r="AF6" i="19"/>
  <c r="AF6" i="9"/>
  <c r="AE8" i="1"/>
  <c r="AD8" i="1"/>
  <c r="AE7" i="1"/>
  <c r="AD7" i="1"/>
  <c r="AE6" i="1"/>
  <c r="AD6" i="1"/>
  <c r="AF6" i="1" l="1"/>
</calcChain>
</file>

<file path=xl/sharedStrings.xml><?xml version="1.0" encoding="utf-8"?>
<sst xmlns="http://schemas.openxmlformats.org/spreadsheetml/2006/main" count="1160" uniqueCount="90">
  <si>
    <t>عمل الطبيب لشهر /</t>
  </si>
  <si>
    <t xml:space="preserve">المنطقة </t>
  </si>
  <si>
    <t xml:space="preserve">الازبكية </t>
  </si>
  <si>
    <t xml:space="preserve">المركز </t>
  </si>
  <si>
    <t>الفجالة</t>
  </si>
  <si>
    <t>اسم الطبيب</t>
  </si>
  <si>
    <t xml:space="preserve">الوعاء المالي </t>
  </si>
  <si>
    <t>جراحة الفم</t>
  </si>
  <si>
    <t>علاج لثة</t>
  </si>
  <si>
    <t>علاج تحفــــــــــــــــظى لبنى</t>
  </si>
  <si>
    <t>ع عــصب لبنى</t>
  </si>
  <si>
    <t>علاج تحفــــــــــــظى بدلى</t>
  </si>
  <si>
    <t>ع عــصب بدلى</t>
  </si>
  <si>
    <t>دوائــــــــــــى</t>
  </si>
  <si>
    <t>اشـــــــــــعه عاديه</t>
  </si>
  <si>
    <t>التحــويلات</t>
  </si>
  <si>
    <t>فحص شامل</t>
  </si>
  <si>
    <t>اخــــــــــــــــــــــــــــرى</t>
  </si>
  <si>
    <t>الاجمالى</t>
  </si>
  <si>
    <t xml:space="preserve">اجمالي حالات الحشو </t>
  </si>
  <si>
    <t>خــــلع لبــــــــــــنى</t>
  </si>
  <si>
    <t>خــــلع بــــــــــــدلى</t>
  </si>
  <si>
    <t>غيـــــــــــــــــار</t>
  </si>
  <si>
    <t>خــــلع جـــــــراحى</t>
  </si>
  <si>
    <t>عملـــــيات جراحية</t>
  </si>
  <si>
    <t>كحــــت جــير</t>
  </si>
  <si>
    <t>عملـــــيات لثة</t>
  </si>
  <si>
    <t>حشــو مؤقت لبنى</t>
  </si>
  <si>
    <t>حشــو مملغم لبنى</t>
  </si>
  <si>
    <t>كمـــــبوزيت لبنى</t>
  </si>
  <si>
    <t>زجــــــــاجى لبنى</t>
  </si>
  <si>
    <t>غيار عصب لبنى</t>
  </si>
  <si>
    <t>حشو عصب لبنى</t>
  </si>
  <si>
    <t>حشــو مؤقت بدلى</t>
  </si>
  <si>
    <t>حشــو مملغم بدلى</t>
  </si>
  <si>
    <t>كمـــــبوزيت بدلى</t>
  </si>
  <si>
    <t>زجــــــــاجى بدلى</t>
  </si>
  <si>
    <t>غيار عصب بدلى</t>
  </si>
  <si>
    <t>حشو عصب بدلى</t>
  </si>
  <si>
    <t>تحـــــــويل خارجى</t>
  </si>
  <si>
    <t xml:space="preserve">تحويل داخلي </t>
  </si>
  <si>
    <t xml:space="preserve">اقتصادي صباحي </t>
  </si>
  <si>
    <t xml:space="preserve">اقتصادي مسائي </t>
  </si>
  <si>
    <t>مجاني</t>
  </si>
  <si>
    <t>أكتوبر 2024</t>
  </si>
  <si>
    <t>د/رانيا محفوظ بخيت</t>
  </si>
  <si>
    <t>هالة رشدي</t>
  </si>
  <si>
    <t>سعد مرشد حنا</t>
  </si>
  <si>
    <t>تقي ياسر محمد</t>
  </si>
  <si>
    <t>حمزة محمد عاشور</t>
  </si>
  <si>
    <t>عمرو عصام الدين</t>
  </si>
  <si>
    <t>فاطمة طارق</t>
  </si>
  <si>
    <t>شاهندة مجدي محمد</t>
  </si>
  <si>
    <t>مارينا سامي صبري</t>
  </si>
  <si>
    <t>احمد احمد عباس</t>
  </si>
  <si>
    <t>محمد اشرف الحسيني</t>
  </si>
  <si>
    <t>دينا عوني محمد</t>
  </si>
  <si>
    <t>ساندرا اشرف موريس</t>
  </si>
  <si>
    <t>ريم حسن فارس</t>
  </si>
  <si>
    <t>ياسر عبدالرحمن</t>
  </si>
  <si>
    <t>ساندي عماد منير</t>
  </si>
  <si>
    <t>كريستين ماجد الفونس</t>
  </si>
  <si>
    <t>شيماء زغلول احمد</t>
  </si>
  <si>
    <t>مارتن ماجد لويس</t>
  </si>
  <si>
    <t xml:space="preserve">د.رانيا محفوظ بخيت </t>
  </si>
  <si>
    <t>د.مارتن ماجد لويس</t>
  </si>
  <si>
    <t xml:space="preserve">د.شيماء زغلول أحمد </t>
  </si>
  <si>
    <t xml:space="preserve">د.كريستين ماجد الفونس </t>
  </si>
  <si>
    <t xml:space="preserve">د.ساندى عماد منير </t>
  </si>
  <si>
    <t xml:space="preserve">د.ياسر عبد الرحمن على </t>
  </si>
  <si>
    <t xml:space="preserve">د.ريم  حسن فارس </t>
  </si>
  <si>
    <t xml:space="preserve">د.ساندرا اشرف موريس  </t>
  </si>
  <si>
    <t>د.دينا عونى محمد</t>
  </si>
  <si>
    <t xml:space="preserve">د.محمد اشرف الحسيني </t>
  </si>
  <si>
    <t>د.احمد احمد عباس</t>
  </si>
  <si>
    <t xml:space="preserve">د.مارينا سامى صبرى </t>
  </si>
  <si>
    <t xml:space="preserve">د.شاهنده مجدى محمد  </t>
  </si>
  <si>
    <t xml:space="preserve">الاجمالي </t>
  </si>
  <si>
    <t>د.سعد مرشد حنا</t>
  </si>
  <si>
    <t>نسبة الحشو</t>
  </si>
  <si>
    <t>حوامل</t>
  </si>
  <si>
    <t>اطفال</t>
  </si>
  <si>
    <t>ملفات</t>
  </si>
  <si>
    <t>هالة رشدي داود</t>
  </si>
  <si>
    <t>د.فاطمه طارق محمد</t>
  </si>
  <si>
    <t>د.عمرو عصام الدين</t>
  </si>
  <si>
    <t>د.حمزه محمد عاشور</t>
  </si>
  <si>
    <t>د.تقي ياسر محمد</t>
  </si>
  <si>
    <t>ديسمبر 2024</t>
  </si>
  <si>
    <t>نسبة التدخلات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</si>
</sst>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khbar mt"/>
    </font>
    <font>
      <b/>
      <sz val="14"/>
      <color theme="1"/>
      <name val="Akhbar mt"/>
    </font>
    <font>
      <sz val="11"/>
      <color theme="0"/>
      <name val="Calibri"/>
      <family val="2"/>
      <scheme val="minor"/>
    </font>
    <font>
      <b/>
      <sz val="11"/>
      <color theme="1"/>
      <name val="Akhbar mt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</fills>
  <borders count="3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  <xf numFmtId="0" fontId="1" fillId="0" borderId="2" xfId="0" applyFont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 textRotation="90" wrapText="1" readingOrder="2"/>
    </xf>
    <xf numFmtId="0" fontId="1" fillId="3" borderId="4" xfId="0" applyFont="1" applyFill="1" applyBorder="1" applyAlignment="1">
      <alignment horizontal="center" vertical="center"/>
    </xf>
    <xf numFmtId="0" fontId="6" fillId="0" borderId="0" xfId="0" applyFont="1"/>
    <xf numFmtId="0" fontId="7" fillId="3" borderId="11" xfId="0" applyFont="1" applyFill="1" applyBorder="1" applyAlignment="1">
      <alignment horizontal="center" vertical="center" textRotation="90" wrapText="1" readingOrder="2"/>
    </xf>
    <xf numFmtId="0" fontId="0" fillId="4" borderId="9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2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4" borderId="25" xfId="0" applyFont="1" applyFill="1" applyBorder="1" applyAlignment="1">
      <alignment horizontal="center" vertical="center"/>
    </xf>
    <xf numFmtId="0" fontId="1" fillId="4" borderId="23" xfId="0" applyFont="1" applyFill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vertical="center" textRotation="90" wrapText="1" readingOrder="2"/>
    </xf>
    <xf numFmtId="0" fontId="1" fillId="4" borderId="30" xfId="0" applyFont="1" applyFill="1" applyBorder="1" applyAlignment="1">
      <alignment vertical="center"/>
    </xf>
    <xf numFmtId="0" fontId="1" fillId="0" borderId="18" xfId="0" applyFont="1" applyBorder="1" applyAlignment="1">
      <alignment vertical="center"/>
    </xf>
    <xf numFmtId="0" fontId="1" fillId="3" borderId="19" xfId="0" applyFon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11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textRotation="90"/>
    </xf>
    <xf numFmtId="0" fontId="0" fillId="2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wrapText="1" readingOrder="2"/>
    </xf>
    <xf numFmtId="0" fontId="7" fillId="3" borderId="2" xfId="0" applyFont="1" applyFill="1" applyBorder="1" applyAlignment="1">
      <alignment horizontal="center" vertical="center" textRotation="90" wrapText="1" readingOrder="2"/>
    </xf>
    <xf numFmtId="0" fontId="7" fillId="3" borderId="11" xfId="0" applyFont="1" applyFill="1" applyBorder="1" applyAlignment="1">
      <alignment horizontal="center" vertical="center" textRotation="90" wrapText="1" readingOrder="2"/>
    </xf>
    <xf numFmtId="0" fontId="1" fillId="2" borderId="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textRotation="90"/>
    </xf>
    <xf numFmtId="0" fontId="5" fillId="3" borderId="2" xfId="0" applyFont="1" applyFill="1" applyBorder="1" applyAlignment="1">
      <alignment horizontal="center" vertical="center" textRotation="90" wrapText="1" readingOrder="2"/>
    </xf>
    <xf numFmtId="0" fontId="5" fillId="3" borderId="4" xfId="0" applyFont="1" applyFill="1" applyBorder="1" applyAlignment="1">
      <alignment horizontal="center" vertical="center" textRotation="90" wrapText="1" readingOrder="2"/>
    </xf>
    <xf numFmtId="0" fontId="1" fillId="3" borderId="4" xfId="0" applyFont="1" applyFill="1" applyBorder="1" applyAlignment="1">
      <alignment horizontal="center" vertical="center" textRotation="90"/>
    </xf>
    <xf numFmtId="0" fontId="1" fillId="5" borderId="31" xfId="0" applyFont="1" applyFill="1" applyBorder="1" applyAlignment="1">
      <alignment horizontal="center" vertical="center"/>
    </xf>
    <xf numFmtId="0" fontId="1" fillId="5" borderId="32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 readingOrder="2"/>
    </xf>
    <xf numFmtId="0" fontId="3" fillId="2" borderId="1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 wrapText="1" readingOrder="2"/>
    </xf>
    <xf numFmtId="0" fontId="5" fillId="3" borderId="21" xfId="0" applyFont="1" applyFill="1" applyBorder="1" applyAlignment="1">
      <alignment horizontal="center" vertical="center" wrapText="1" readingOrder="2"/>
    </xf>
    <xf numFmtId="0" fontId="5" fillId="3" borderId="1" xfId="0" applyFont="1" applyFill="1" applyBorder="1" applyAlignment="1">
      <alignment horizontal="center" vertical="center" wrapText="1" readingOrder="2"/>
    </xf>
    <xf numFmtId="0" fontId="3" fillId="2" borderId="7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20"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  <dxf>
      <font>
        <color theme="2"/>
      </font>
      <fill>
        <patternFill patternType="solid">
          <fgColor auto="1"/>
          <bgColor theme="4" tint="0.39994506668294322"/>
        </patternFill>
      </fill>
    </dxf>
    <dxf>
      <font>
        <color theme="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231EA-15FF-4C28-B59E-CB0E2672FE33}">
  <sheetPr codeName="Sheet2">
    <tabColor rgb="FF7030A0"/>
    <pageSetUpPr fitToPage="1"/>
  </sheetPr>
  <dimension ref="A1:AE152"/>
  <sheetViews>
    <sheetView rightToLeft="1"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A8" sqref="AA8"/>
    </sheetView>
  </sheetViews>
  <sheetFormatPr defaultRowHeight="18.5"/>
  <cols>
    <col min="1" max="1" width="19" style="1" customWidth="1"/>
    <col min="2" max="2" width="19.81640625" customWidth="1"/>
    <col min="3" max="21" width="3.54296875" customWidth="1"/>
    <col min="22" max="22" width="4.26953125" customWidth="1"/>
    <col min="23" max="27" width="3.54296875" customWidth="1"/>
    <col min="28" max="28" width="4.1796875" customWidth="1"/>
    <col min="29" max="29" width="3.54296875" customWidth="1"/>
    <col min="31" max="31" width="8.453125" customWidth="1"/>
  </cols>
  <sheetData>
    <row r="1" spans="1:31" ht="14.5">
      <c r="A1"/>
      <c r="H1" t="s">
        <v>0</v>
      </c>
      <c r="L1" t="s">
        <v>88</v>
      </c>
    </row>
    <row r="2" spans="1:31" ht="15" customHeight="1">
      <c r="A2" t="s">
        <v>1</v>
      </c>
      <c r="B2" t="s">
        <v>2</v>
      </c>
    </row>
    <row r="3" spans="1:31" ht="15" customHeight="1">
      <c r="A3" t="s">
        <v>3</v>
      </c>
      <c r="B3" t="s">
        <v>4</v>
      </c>
    </row>
    <row r="4" spans="1:31" ht="39.75" customHeight="1">
      <c r="A4" s="75" t="s">
        <v>5</v>
      </c>
      <c r="B4" s="77" t="s">
        <v>6</v>
      </c>
      <c r="C4" s="72" t="s">
        <v>7</v>
      </c>
      <c r="D4" s="72"/>
      <c r="E4" s="72"/>
      <c r="F4" s="72"/>
      <c r="G4" s="72"/>
      <c r="H4" s="72" t="s">
        <v>8</v>
      </c>
      <c r="I4" s="72"/>
      <c r="J4" s="72" t="s">
        <v>9</v>
      </c>
      <c r="K4" s="72"/>
      <c r="L4" s="72"/>
      <c r="M4" s="72"/>
      <c r="N4" s="72" t="s">
        <v>10</v>
      </c>
      <c r="O4" s="72"/>
      <c r="P4" s="72" t="s">
        <v>11</v>
      </c>
      <c r="Q4" s="72"/>
      <c r="R4" s="72"/>
      <c r="S4" s="72"/>
      <c r="T4" s="72" t="s">
        <v>12</v>
      </c>
      <c r="U4" s="72"/>
      <c r="V4" s="73" t="s">
        <v>13</v>
      </c>
      <c r="W4" s="73" t="s">
        <v>14</v>
      </c>
      <c r="X4" s="72" t="s">
        <v>15</v>
      </c>
      <c r="Y4" s="72"/>
      <c r="Z4" s="73" t="s">
        <v>16</v>
      </c>
      <c r="AA4" s="73" t="s">
        <v>17</v>
      </c>
      <c r="AB4" s="73" t="s">
        <v>18</v>
      </c>
      <c r="AC4" s="66" t="s">
        <v>19</v>
      </c>
      <c r="AE4" s="66" t="s">
        <v>89</v>
      </c>
    </row>
    <row r="5" spans="1:31" ht="70.5" thickBot="1">
      <c r="A5" s="76"/>
      <c r="B5" s="77"/>
      <c r="C5" s="9" t="s">
        <v>20</v>
      </c>
      <c r="D5" s="9" t="s">
        <v>21</v>
      </c>
      <c r="E5" s="9" t="s">
        <v>22</v>
      </c>
      <c r="F5" s="9" t="s">
        <v>23</v>
      </c>
      <c r="G5" s="9" t="s">
        <v>24</v>
      </c>
      <c r="H5" s="9" t="s">
        <v>25</v>
      </c>
      <c r="I5" s="9" t="s">
        <v>26</v>
      </c>
      <c r="J5" s="9" t="s">
        <v>27</v>
      </c>
      <c r="K5" s="9" t="s">
        <v>28</v>
      </c>
      <c r="L5" s="9" t="s">
        <v>29</v>
      </c>
      <c r="M5" s="9" t="s">
        <v>30</v>
      </c>
      <c r="N5" s="9" t="s">
        <v>31</v>
      </c>
      <c r="O5" s="9" t="s">
        <v>32</v>
      </c>
      <c r="P5" s="9" t="s">
        <v>33</v>
      </c>
      <c r="Q5" s="9" t="s">
        <v>34</v>
      </c>
      <c r="R5" s="9" t="s">
        <v>35</v>
      </c>
      <c r="S5" s="9" t="s">
        <v>36</v>
      </c>
      <c r="T5" s="9" t="s">
        <v>37</v>
      </c>
      <c r="U5" s="9" t="s">
        <v>38</v>
      </c>
      <c r="V5" s="74"/>
      <c r="W5" s="74"/>
      <c r="X5" s="9" t="s">
        <v>39</v>
      </c>
      <c r="Y5" s="9" t="s">
        <v>40</v>
      </c>
      <c r="Z5" s="74"/>
      <c r="AA5" s="74"/>
      <c r="AB5" s="73"/>
      <c r="AC5" s="66"/>
      <c r="AE5" s="66"/>
    </row>
    <row r="6" spans="1:31" ht="15" customHeight="1" thickTop="1" thickBot="1">
      <c r="A6" s="69" t="s">
        <v>64</v>
      </c>
      <c r="B6" s="10" t="s">
        <v>41</v>
      </c>
      <c r="C6" s="11">
        <f>VALUE('رانيا محفوظ بخيت'!C6)</f>
        <v>1</v>
      </c>
      <c r="D6" s="11">
        <f>VALUE('رانيا محفوظ بخيت'!D6)</f>
        <v>5</v>
      </c>
      <c r="E6" s="11">
        <f>VALUE('رانيا محفوظ بخيت'!E6)</f>
        <v>0</v>
      </c>
      <c r="F6" s="11">
        <f>VALUE('رانيا محفوظ بخيت'!F6)</f>
        <v>0</v>
      </c>
      <c r="G6" s="11">
        <f>VALUE('رانيا محفوظ بخيت'!G6)</f>
        <v>0</v>
      </c>
      <c r="H6" s="11">
        <f>VALUE('رانيا محفوظ بخيت'!H6)</f>
        <v>0</v>
      </c>
      <c r="I6" s="11">
        <f>VALUE('رانيا محفوظ بخيت'!I6)</f>
        <v>0</v>
      </c>
      <c r="J6" s="11">
        <f>VALUE('رانيا محفوظ بخيت'!J6)</f>
        <v>0</v>
      </c>
      <c r="K6" s="11">
        <f>VALUE('رانيا محفوظ بخيت'!K6)</f>
        <v>0</v>
      </c>
      <c r="L6" s="11">
        <f>VALUE('رانيا محفوظ بخيت'!L6)</f>
        <v>0</v>
      </c>
      <c r="M6" s="11">
        <f>VALUE('رانيا محفوظ بخيت'!M6)</f>
        <v>0</v>
      </c>
      <c r="N6" s="11">
        <f>VALUE('رانيا محفوظ بخيت'!N6)</f>
        <v>0</v>
      </c>
      <c r="O6" s="11">
        <f>VALUE('رانيا محفوظ بخيت'!O6)</f>
        <v>0</v>
      </c>
      <c r="P6" s="11">
        <f>VALUE('رانيا محفوظ بخيت'!P6)</f>
        <v>1</v>
      </c>
      <c r="Q6" s="12">
        <f>VALUE('رانيا محفوظ بخيت'!Q6)</f>
        <v>1</v>
      </c>
      <c r="R6" s="12">
        <f>VALUE('رانيا محفوظ بخيت'!R6)</f>
        <v>1</v>
      </c>
      <c r="S6" s="12">
        <f>VALUE('رانيا محفوظ بخيت'!S6)</f>
        <v>0</v>
      </c>
      <c r="T6" s="12">
        <f>VALUE('رانيا محفوظ بخيت'!T6)</f>
        <v>0</v>
      </c>
      <c r="U6" s="12">
        <f>VALUE('رانيا محفوظ بخيت'!U6)</f>
        <v>0</v>
      </c>
      <c r="V6" s="12">
        <f>VALUE('رانيا محفوظ بخيت'!V6)</f>
        <v>17</v>
      </c>
      <c r="W6" s="12">
        <f>VALUE('رانيا محفوظ بخيت'!W6)</f>
        <v>0</v>
      </c>
      <c r="X6" s="12">
        <f>VALUE('رانيا محفوظ بخيت'!X6)</f>
        <v>2</v>
      </c>
      <c r="Y6" s="12">
        <f>VALUE('رانيا محفوظ بخيت'!Y6)</f>
        <v>0</v>
      </c>
      <c r="Z6" s="12">
        <f>SUM('رانيا محفوظ بخيت'!Z6:AB6)</f>
        <v>0</v>
      </c>
      <c r="AA6" s="12">
        <f>VALUE('رانيا محفوظ بخيت'!AC6)</f>
        <v>0</v>
      </c>
      <c r="AB6" s="11">
        <f>SUM(C6:AA6)</f>
        <v>28</v>
      </c>
      <c r="AC6" s="11">
        <f>SUM(J6:U6)</f>
        <v>3</v>
      </c>
      <c r="AD6" s="71">
        <f>SUM(AC6:AC8)</f>
        <v>3</v>
      </c>
      <c r="AE6" s="64">
        <f>SUM(C6:U8)+W6+W7+W8</f>
        <v>9</v>
      </c>
    </row>
    <row r="7" spans="1:31" ht="15" customHeight="1" thickBot="1">
      <c r="A7" s="69"/>
      <c r="B7" s="13" t="s">
        <v>42</v>
      </c>
      <c r="C7" s="13">
        <f>VALUE('رانيا محفوظ بخيت'!C7)</f>
        <v>0</v>
      </c>
      <c r="D7" s="13">
        <f>VALUE('رانيا محفوظ بخيت'!D7)</f>
        <v>0</v>
      </c>
      <c r="E7" s="13">
        <f>VALUE('رانيا محفوظ بخيت'!E7)</f>
        <v>0</v>
      </c>
      <c r="F7" s="13">
        <f>VALUE('رانيا محفوظ بخيت'!F7)</f>
        <v>0</v>
      </c>
      <c r="G7" s="13">
        <f>VALUE('رانيا محفوظ بخيت'!G7)</f>
        <v>0</v>
      </c>
      <c r="H7" s="14">
        <f>VALUE('رانيا محفوظ بخيت'!H7)</f>
        <v>0</v>
      </c>
      <c r="I7" s="13">
        <f>VALUE('رانيا محفوظ بخيت'!I7)</f>
        <v>0</v>
      </c>
      <c r="J7" s="13">
        <f>VALUE('رانيا محفوظ بخيت'!J7)</f>
        <v>0</v>
      </c>
      <c r="K7" s="13">
        <f>VALUE('رانيا محفوظ بخيت'!K7)</f>
        <v>0</v>
      </c>
      <c r="L7" s="13">
        <f>VALUE('رانيا محفوظ بخيت'!L7)</f>
        <v>0</v>
      </c>
      <c r="M7" s="13">
        <f>VALUE('رانيا محفوظ بخيت'!M7)</f>
        <v>0</v>
      </c>
      <c r="N7" s="13">
        <f>VALUE('رانيا محفوظ بخيت'!N7)</f>
        <v>0</v>
      </c>
      <c r="O7" s="13">
        <f>VALUE('رانيا محفوظ بخيت'!O7)</f>
        <v>0</v>
      </c>
      <c r="P7" s="13">
        <f>VALUE('رانيا محفوظ بخيت'!P7)</f>
        <v>0</v>
      </c>
      <c r="Q7" s="13">
        <f>VALUE('رانيا محفوظ بخيت'!Q7)</f>
        <v>0</v>
      </c>
      <c r="R7" s="13">
        <f>VALUE('رانيا محفوظ بخيت'!R7)</f>
        <v>0</v>
      </c>
      <c r="S7" s="13">
        <f>VALUE('رانيا محفوظ بخيت'!S7)</f>
        <v>0</v>
      </c>
      <c r="T7" s="13">
        <f>VALUE('رانيا محفوظ بخيت'!T7)</f>
        <v>0</v>
      </c>
      <c r="U7" s="13">
        <f>VALUE('رانيا محفوظ بخيت'!U7)</f>
        <v>0</v>
      </c>
      <c r="V7" s="13">
        <f>VALUE('رانيا محفوظ بخيت'!V7)</f>
        <v>0</v>
      </c>
      <c r="W7" s="13">
        <f>VALUE('رانيا محفوظ بخيت'!W7)</f>
        <v>0</v>
      </c>
      <c r="X7" s="13">
        <f>VALUE('رانيا محفوظ بخيت'!X7)</f>
        <v>0</v>
      </c>
      <c r="Y7" s="13">
        <f>VALUE('رانيا محفوظ بخيت'!Y7)</f>
        <v>0</v>
      </c>
      <c r="Z7" s="59">
        <f>SUM('رانيا محفوظ بخيت'!Z7:AB7)</f>
        <v>0</v>
      </c>
      <c r="AA7" s="13">
        <f>VALUE('رانيا محفوظ بخيت'!AC7)</f>
        <v>0</v>
      </c>
      <c r="AB7" s="13">
        <f t="shared" ref="AB7:AB8" si="0">SUM(C7:AA7)</f>
        <v>0</v>
      </c>
      <c r="AC7" s="13">
        <f t="shared" ref="AC7:AC8" si="1">SUM(J7:U7)</f>
        <v>0</v>
      </c>
      <c r="AD7" s="71"/>
      <c r="AE7" s="64"/>
    </row>
    <row r="8" spans="1:31" ht="15" customHeight="1" thickBot="1">
      <c r="A8" s="69"/>
      <c r="B8" s="15" t="s">
        <v>43</v>
      </c>
      <c r="C8" s="16">
        <f>VALUE('رانيا محفوظ بخيت'!C8)</f>
        <v>0</v>
      </c>
      <c r="D8" s="16">
        <f>VALUE('رانيا محفوظ بخيت'!D8)</f>
        <v>0</v>
      </c>
      <c r="E8" s="16">
        <f>VALUE('رانيا محفوظ بخيت'!E8)</f>
        <v>0</v>
      </c>
      <c r="F8" s="16">
        <f>VALUE('رانيا محفوظ بخيت'!F8)</f>
        <v>0</v>
      </c>
      <c r="G8" s="16">
        <f>VALUE('رانيا محفوظ بخيت'!G8)</f>
        <v>0</v>
      </c>
      <c r="H8" s="17">
        <f>VALUE('رانيا محفوظ بخيت'!H8)</f>
        <v>0</v>
      </c>
      <c r="I8" s="16">
        <f>VALUE('رانيا محفوظ بخيت'!I8)</f>
        <v>0</v>
      </c>
      <c r="J8" s="16">
        <f>VALUE('رانيا محفوظ بخيت'!J8)</f>
        <v>0</v>
      </c>
      <c r="K8" s="16">
        <f>VALUE('رانيا محفوظ بخيت'!K8)</f>
        <v>0</v>
      </c>
      <c r="L8" s="16">
        <f>VALUE('رانيا محفوظ بخيت'!L8)</f>
        <v>0</v>
      </c>
      <c r="M8" s="16">
        <f>VALUE('رانيا محفوظ بخيت'!M8)</f>
        <v>0</v>
      </c>
      <c r="N8" s="16">
        <f>VALUE('رانيا محفوظ بخيت'!N8)</f>
        <v>0</v>
      </c>
      <c r="O8" s="16">
        <f>VALUE('رانيا محفوظ بخيت'!O8)</f>
        <v>0</v>
      </c>
      <c r="P8" s="16">
        <f>VALUE('رانيا محفوظ بخيت'!P8)</f>
        <v>0</v>
      </c>
      <c r="Q8" s="16">
        <f>VALUE('رانيا محفوظ بخيت'!Q8)</f>
        <v>0</v>
      </c>
      <c r="R8" s="16">
        <f>VALUE('رانيا محفوظ بخيت'!R8)</f>
        <v>0</v>
      </c>
      <c r="S8" s="16">
        <f>VALUE('رانيا محفوظ بخيت'!S8)</f>
        <v>0</v>
      </c>
      <c r="T8" s="16">
        <f>VALUE('رانيا محفوظ بخيت'!T8)</f>
        <v>0</v>
      </c>
      <c r="U8" s="16">
        <f>VALUE('رانيا محفوظ بخيت'!U8)</f>
        <v>0</v>
      </c>
      <c r="V8" s="16">
        <f>VALUE('رانيا محفوظ بخيت'!V8)</f>
        <v>0</v>
      </c>
      <c r="W8" s="16">
        <f>VALUE('رانيا محفوظ بخيت'!W8)</f>
        <v>0</v>
      </c>
      <c r="X8" s="16">
        <f>VALUE('رانيا محفوظ بخيت'!X8)</f>
        <v>0</v>
      </c>
      <c r="Y8" s="16">
        <f>VALUE('رانيا محفوظ بخيت'!Y8)</f>
        <v>0</v>
      </c>
      <c r="Z8" s="16">
        <f>SUM('رانيا محفوظ بخيت'!Z8:AB8)</f>
        <v>4</v>
      </c>
      <c r="AA8" s="16">
        <f>VALUE('رانيا محفوظ بخيت'!AC8)</f>
        <v>0</v>
      </c>
      <c r="AB8" s="16">
        <f t="shared" si="0"/>
        <v>4</v>
      </c>
      <c r="AC8" s="16">
        <f t="shared" si="1"/>
        <v>0</v>
      </c>
      <c r="AD8" s="71"/>
      <c r="AE8" s="64"/>
    </row>
    <row r="9" spans="1:31" ht="15" customHeight="1" thickBot="1">
      <c r="A9" s="69" t="s">
        <v>65</v>
      </c>
      <c r="B9" s="18" t="s">
        <v>41</v>
      </c>
      <c r="C9" s="19">
        <f>VALUE('مارتن ماجد لويس'!C6)</f>
        <v>1</v>
      </c>
      <c r="D9" s="19">
        <f>VALUE('مارتن ماجد لويس'!D6)</f>
        <v>5</v>
      </c>
      <c r="E9" s="19">
        <f>VALUE('مارتن ماجد لويس'!E6)</f>
        <v>0</v>
      </c>
      <c r="F9" s="19">
        <f>VALUE('مارتن ماجد لويس'!F6)</f>
        <v>0</v>
      </c>
      <c r="G9" s="19">
        <f>VALUE('مارتن ماجد لويس'!G6)</f>
        <v>0</v>
      </c>
      <c r="H9" s="19">
        <f>VALUE('مارتن ماجد لويس'!H6)</f>
        <v>0</v>
      </c>
      <c r="I9" s="19">
        <f>VALUE('مارتن ماجد لويس'!I6)</f>
        <v>0</v>
      </c>
      <c r="J9" s="19">
        <f>VALUE('مارتن ماجد لويس'!J6)</f>
        <v>0</v>
      </c>
      <c r="K9" s="19">
        <f>VALUE('مارتن ماجد لويس'!K6)</f>
        <v>0</v>
      </c>
      <c r="L9" s="19">
        <f>VALUE('مارتن ماجد لويس'!L6)</f>
        <v>0</v>
      </c>
      <c r="M9" s="19">
        <f>VALUE('مارتن ماجد لويس'!M6)</f>
        <v>0</v>
      </c>
      <c r="N9" s="19">
        <f>VALUE('مارتن ماجد لويس'!N6)</f>
        <v>0</v>
      </c>
      <c r="O9" s="19">
        <f>VALUE('مارتن ماجد لويس'!O6)</f>
        <v>0</v>
      </c>
      <c r="P9" s="19">
        <f>VALUE('مارتن ماجد لويس'!P6)</f>
        <v>0</v>
      </c>
      <c r="Q9" s="19">
        <f>VALUE('مارتن ماجد لويس'!Q6)</f>
        <v>3</v>
      </c>
      <c r="R9" s="19">
        <f>VALUE('مارتن ماجد لويس'!R6)</f>
        <v>0</v>
      </c>
      <c r="S9" s="19">
        <f>VALUE('مارتن ماجد لويس'!S6)</f>
        <v>1</v>
      </c>
      <c r="T9" s="19">
        <f>VALUE('مارتن ماجد لويس'!T6)</f>
        <v>2</v>
      </c>
      <c r="U9" s="19">
        <f>VALUE('مارتن ماجد لويس'!U6)</f>
        <v>0</v>
      </c>
      <c r="V9" s="19">
        <f>VALUE('مارتن ماجد لويس'!V6)</f>
        <v>13</v>
      </c>
      <c r="W9" s="19">
        <f>VALUE('مارتن ماجد لويس'!W6)</f>
        <v>0</v>
      </c>
      <c r="X9" s="19">
        <f>VALUE('مارتن ماجد لويس'!X6)</f>
        <v>1</v>
      </c>
      <c r="Y9" s="19">
        <f>VALUE('مارتن ماجد لويس'!Y6)</f>
        <v>0</v>
      </c>
      <c r="Z9" s="19">
        <f>SUM('مارتن ماجد لويس'!Z6:AB6)</f>
        <v>0</v>
      </c>
      <c r="AA9" s="19">
        <f>VALUE('مارتن ماجد لويس'!AC6)</f>
        <v>0</v>
      </c>
      <c r="AB9" s="19">
        <f>SUM(C9:AA9)</f>
        <v>26</v>
      </c>
      <c r="AC9" s="19">
        <f>SUM(J9:U9)</f>
        <v>6</v>
      </c>
      <c r="AD9" s="71">
        <f t="shared" ref="AD9" si="2">SUM(AC9:AC11)</f>
        <v>6</v>
      </c>
      <c r="AE9" s="64">
        <f t="shared" ref="AE9" si="3">SUM(C9:U11)+W9+W10+W11</f>
        <v>12</v>
      </c>
    </row>
    <row r="10" spans="1:31" ht="15" customHeight="1" thickBot="1">
      <c r="A10" s="69"/>
      <c r="B10" s="13" t="s">
        <v>42</v>
      </c>
      <c r="C10" s="20">
        <f>VALUE('مارتن ماجد لويس'!C7)</f>
        <v>0</v>
      </c>
      <c r="D10" s="20">
        <f>VALUE('مارتن ماجد لويس'!D7)</f>
        <v>0</v>
      </c>
      <c r="E10" s="20">
        <f>VALUE('مارتن ماجد لويس'!E7)</f>
        <v>0</v>
      </c>
      <c r="F10" s="20">
        <f>VALUE('مارتن ماجد لويس'!F7)</f>
        <v>0</v>
      </c>
      <c r="G10" s="20">
        <f>VALUE('مارتن ماجد لويس'!G7)</f>
        <v>0</v>
      </c>
      <c r="H10" s="20">
        <f>VALUE('مارتن ماجد لويس'!H7)</f>
        <v>0</v>
      </c>
      <c r="I10" s="20">
        <f>VALUE('مارتن ماجد لويس'!I7)</f>
        <v>0</v>
      </c>
      <c r="J10" s="20">
        <f>VALUE('مارتن ماجد لويس'!J7)</f>
        <v>0</v>
      </c>
      <c r="K10" s="20">
        <f>VALUE('مارتن ماجد لويس'!K7)</f>
        <v>0</v>
      </c>
      <c r="L10" s="20">
        <f>VALUE('مارتن ماجد لويس'!L7)</f>
        <v>0</v>
      </c>
      <c r="M10" s="20">
        <f>VALUE('مارتن ماجد لويس'!M7)</f>
        <v>0</v>
      </c>
      <c r="N10" s="20">
        <f>VALUE('مارتن ماجد لويس'!N7)</f>
        <v>0</v>
      </c>
      <c r="O10" s="20">
        <f>VALUE('مارتن ماجد لويس'!O7)</f>
        <v>0</v>
      </c>
      <c r="P10" s="20">
        <f>VALUE('مارتن ماجد لويس'!P7)</f>
        <v>0</v>
      </c>
      <c r="Q10" s="20">
        <f>VALUE('مارتن ماجد لويس'!Q7)</f>
        <v>0</v>
      </c>
      <c r="R10" s="20">
        <f>VALUE('مارتن ماجد لويس'!R7)</f>
        <v>0</v>
      </c>
      <c r="S10" s="20">
        <f>VALUE('مارتن ماجد لويس'!S7)</f>
        <v>0</v>
      </c>
      <c r="T10" s="20">
        <f>VALUE('مارتن ماجد لويس'!T7)</f>
        <v>0</v>
      </c>
      <c r="U10" s="20">
        <f>VALUE('مارتن ماجد لويس'!U7)</f>
        <v>0</v>
      </c>
      <c r="V10" s="20">
        <f>VALUE('مارتن ماجد لويس'!V7)</f>
        <v>0</v>
      </c>
      <c r="W10" s="20">
        <f>VALUE('مارتن ماجد لويس'!W7)</f>
        <v>0</v>
      </c>
      <c r="X10" s="20">
        <f>VALUE('مارتن ماجد لويس'!X7)</f>
        <v>0</v>
      </c>
      <c r="Y10" s="20">
        <f>VALUE('مارتن ماجد لويس'!Y7)</f>
        <v>0</v>
      </c>
      <c r="Z10" s="20">
        <f>SUM('مارتن ماجد لويس'!Z7:AB7)</f>
        <v>0</v>
      </c>
      <c r="AA10" s="20">
        <f>VALUE('مارتن ماجد لويس'!AC7)</f>
        <v>0</v>
      </c>
      <c r="AB10" s="13">
        <f t="shared" ref="AB10:AB11" si="4">SUM(C10:AA10)</f>
        <v>0</v>
      </c>
      <c r="AC10" s="13">
        <f t="shared" ref="AC10:AC11" si="5">SUM(J10:U10)</f>
        <v>0</v>
      </c>
      <c r="AD10" s="71"/>
      <c r="AE10" s="64"/>
    </row>
    <row r="11" spans="1:31" ht="15" customHeight="1" thickBot="1">
      <c r="A11" s="69"/>
      <c r="B11" s="21" t="s">
        <v>43</v>
      </c>
      <c r="C11" s="21">
        <f>VALUE('مارتن ماجد لويس'!C8)</f>
        <v>0</v>
      </c>
      <c r="D11" s="21">
        <f>VALUE('مارتن ماجد لويس'!D8)</f>
        <v>0</v>
      </c>
      <c r="E11" s="21">
        <f>VALUE('مارتن ماجد لويس'!E8)</f>
        <v>0</v>
      </c>
      <c r="F11" s="21">
        <f>VALUE('مارتن ماجد لويس'!F8)</f>
        <v>0</v>
      </c>
      <c r="G11" s="21">
        <f>VALUE('مارتن ماجد لويس'!G8)</f>
        <v>0</v>
      </c>
      <c r="H11" s="21">
        <f>VALUE('مارتن ماجد لويس'!H8)</f>
        <v>0</v>
      </c>
      <c r="I11" s="21">
        <f>VALUE('مارتن ماجد لويس'!I8)</f>
        <v>0</v>
      </c>
      <c r="J11" s="21">
        <f>VALUE('مارتن ماجد لويس'!J8)</f>
        <v>0</v>
      </c>
      <c r="K11" s="21">
        <f>VALUE('مارتن ماجد لويس'!K8)</f>
        <v>0</v>
      </c>
      <c r="L11" s="21">
        <f>VALUE('مارتن ماجد لويس'!L8)</f>
        <v>0</v>
      </c>
      <c r="M11" s="21">
        <f>VALUE('مارتن ماجد لويس'!M8)</f>
        <v>0</v>
      </c>
      <c r="N11" s="21">
        <f>VALUE('مارتن ماجد لويس'!N8)</f>
        <v>0</v>
      </c>
      <c r="O11" s="21">
        <f>VALUE('مارتن ماجد لويس'!O8)</f>
        <v>0</v>
      </c>
      <c r="P11" s="21">
        <f>VALUE('مارتن ماجد لويس'!P8)</f>
        <v>0</v>
      </c>
      <c r="Q11" s="21">
        <f>VALUE('مارتن ماجد لويس'!Q8)</f>
        <v>0</v>
      </c>
      <c r="R11" s="21">
        <f>VALUE('مارتن ماجد لويس'!R8)</f>
        <v>0</v>
      </c>
      <c r="S11" s="21">
        <f>VALUE('مارتن ماجد لويس'!S8)</f>
        <v>0</v>
      </c>
      <c r="T11" s="21">
        <f>VALUE('مارتن ماجد لويس'!T8)</f>
        <v>0</v>
      </c>
      <c r="U11" s="21">
        <f>VALUE('مارتن ماجد لويس'!U8)</f>
        <v>0</v>
      </c>
      <c r="V11" s="21">
        <f>VALUE('مارتن ماجد لويس'!V8)</f>
        <v>0</v>
      </c>
      <c r="W11" s="21">
        <f>VALUE('مارتن ماجد لويس'!W8)</f>
        <v>0</v>
      </c>
      <c r="X11" s="21">
        <f>VALUE('مارتن ماجد لويس'!X8)</f>
        <v>0</v>
      </c>
      <c r="Y11" s="21">
        <f>VALUE('مارتن ماجد لويس'!Y8)</f>
        <v>0</v>
      </c>
      <c r="Z11" s="60">
        <f>SUM('مارتن ماجد لويس'!Z8:AB8)</f>
        <v>2</v>
      </c>
      <c r="AA11" s="21">
        <f>VALUE('مارتن ماجد لويس'!AC8)</f>
        <v>0</v>
      </c>
      <c r="AB11" s="16">
        <f t="shared" si="4"/>
        <v>2</v>
      </c>
      <c r="AC11" s="16">
        <f t="shared" si="5"/>
        <v>0</v>
      </c>
      <c r="AD11" s="71"/>
      <c r="AE11" s="64"/>
    </row>
    <row r="12" spans="1:31" ht="15" customHeight="1" thickBot="1">
      <c r="A12" s="69" t="s">
        <v>66</v>
      </c>
      <c r="B12" s="18" t="s">
        <v>41</v>
      </c>
      <c r="C12" s="18">
        <f>VALUE('شيماء زغلول احمد'!C6)</f>
        <v>0</v>
      </c>
      <c r="D12" s="18">
        <f>VALUE('شيماء زغلول احمد'!D6)</f>
        <v>5</v>
      </c>
      <c r="E12" s="18">
        <f>VALUE('شيماء زغلول احمد'!E6)</f>
        <v>0</v>
      </c>
      <c r="F12" s="18">
        <f>VALUE('شيماء زغلول احمد'!F6)</f>
        <v>0</v>
      </c>
      <c r="G12" s="18">
        <f>VALUE('شيماء زغلول احمد'!G6)</f>
        <v>0</v>
      </c>
      <c r="H12" s="18">
        <f>VALUE('شيماء زغلول احمد'!H6)</f>
        <v>1</v>
      </c>
      <c r="I12" s="18">
        <f>VALUE('شيماء زغلول احمد'!I6)</f>
        <v>0</v>
      </c>
      <c r="J12" s="18">
        <f>VALUE('شيماء زغلول احمد'!J6)</f>
        <v>0</v>
      </c>
      <c r="K12" s="18">
        <f>VALUE('شيماء زغلول احمد'!K6)</f>
        <v>0</v>
      </c>
      <c r="L12" s="18">
        <f>VALUE('شيماء زغلول احمد'!L6)</f>
        <v>0</v>
      </c>
      <c r="M12" s="18">
        <f>VALUE('شيماء زغلول احمد'!M6)</f>
        <v>0</v>
      </c>
      <c r="N12" s="18">
        <f>VALUE('شيماء زغلول احمد'!N6)</f>
        <v>0</v>
      </c>
      <c r="O12" s="18">
        <f>VALUE('شيماء زغلول احمد'!O6)</f>
        <v>0</v>
      </c>
      <c r="P12" s="18">
        <f>VALUE('شيماء زغلول احمد'!P6)</f>
        <v>0</v>
      </c>
      <c r="Q12" s="18">
        <f>VALUE('شيماء زغلول احمد'!Q6)</f>
        <v>0</v>
      </c>
      <c r="R12" s="18">
        <f>VALUE('شيماء زغلول احمد'!R6)</f>
        <v>0</v>
      </c>
      <c r="S12" s="18">
        <f>VALUE('شيماء زغلول احمد'!S6)</f>
        <v>0</v>
      </c>
      <c r="T12" s="18">
        <f>VALUE('شيماء زغلول احمد'!T6)</f>
        <v>0</v>
      </c>
      <c r="U12" s="18">
        <f>VALUE('شيماء زغلول احمد'!U6)</f>
        <v>0</v>
      </c>
      <c r="V12" s="18">
        <f>VALUE('شيماء زغلول احمد'!V6)</f>
        <v>12</v>
      </c>
      <c r="W12" s="18">
        <f>VALUE('شيماء زغلول احمد'!W6)</f>
        <v>2</v>
      </c>
      <c r="X12" s="18">
        <f>VALUE('شيماء زغلول احمد'!X6)</f>
        <v>1</v>
      </c>
      <c r="Y12" s="18">
        <f>VALUE('شيماء زغلول احمد'!Y6)</f>
        <v>0</v>
      </c>
      <c r="Z12" s="61">
        <f>SUM('شيماء زغلول احمد'!Z6:AB6)</f>
        <v>0</v>
      </c>
      <c r="AA12" s="18">
        <f>VALUE('شيماء زغلول احمد'!AC6)</f>
        <v>0</v>
      </c>
      <c r="AB12" s="18">
        <f>SUM(C12:AA12)</f>
        <v>21</v>
      </c>
      <c r="AC12" s="18">
        <f>SUM(J12:U12)</f>
        <v>0</v>
      </c>
      <c r="AD12" s="71">
        <f t="shared" ref="AD12" si="6">SUM(AC12:AC14)</f>
        <v>0</v>
      </c>
      <c r="AE12" s="64">
        <f t="shared" ref="AE12" si="7">SUM(C12:U14)+W12+W13+W14</f>
        <v>8</v>
      </c>
    </row>
    <row r="13" spans="1:31" ht="15" customHeight="1" thickBot="1">
      <c r="A13" s="69"/>
      <c r="B13" s="13" t="s">
        <v>42</v>
      </c>
      <c r="C13" s="20">
        <f>VALUE('شيماء زغلول احمد'!C7)</f>
        <v>0</v>
      </c>
      <c r="D13" s="20">
        <f>VALUE('شيماء زغلول احمد'!D7)</f>
        <v>0</v>
      </c>
      <c r="E13" s="20">
        <f>VALUE('شيماء زغلول احمد'!E7)</f>
        <v>0</v>
      </c>
      <c r="F13" s="20">
        <f>VALUE('شيماء زغلول احمد'!F7)</f>
        <v>0</v>
      </c>
      <c r="G13" s="20">
        <f>VALUE('شيماء زغلول احمد'!G7)</f>
        <v>0</v>
      </c>
      <c r="H13" s="20">
        <f>VALUE('شيماء زغلول احمد'!H7)</f>
        <v>0</v>
      </c>
      <c r="I13" s="20">
        <f>VALUE('شيماء زغلول احمد'!I7)</f>
        <v>0</v>
      </c>
      <c r="J13" s="20">
        <f>VALUE('شيماء زغلول احمد'!J7)</f>
        <v>0</v>
      </c>
      <c r="K13" s="20">
        <f>VALUE('شيماء زغلول احمد'!K7)</f>
        <v>0</v>
      </c>
      <c r="L13" s="20">
        <f>VALUE('شيماء زغلول احمد'!L7)</f>
        <v>0</v>
      </c>
      <c r="M13" s="20">
        <f>VALUE('شيماء زغلول احمد'!M7)</f>
        <v>0</v>
      </c>
      <c r="N13" s="20">
        <f>VALUE('شيماء زغلول احمد'!N7)</f>
        <v>0</v>
      </c>
      <c r="O13" s="20">
        <f>VALUE('شيماء زغلول احمد'!O7)</f>
        <v>0</v>
      </c>
      <c r="P13" s="20">
        <f>VALUE('شيماء زغلول احمد'!P7)</f>
        <v>0</v>
      </c>
      <c r="Q13" s="20">
        <f>VALUE('شيماء زغلول احمد'!Q7)</f>
        <v>0</v>
      </c>
      <c r="R13" s="20">
        <f>VALUE('شيماء زغلول احمد'!R7)</f>
        <v>0</v>
      </c>
      <c r="S13" s="20">
        <f>VALUE('شيماء زغلول احمد'!S7)</f>
        <v>0</v>
      </c>
      <c r="T13" s="20">
        <f>VALUE('شيماء زغلول احمد'!T7)</f>
        <v>0</v>
      </c>
      <c r="U13" s="20">
        <f>VALUE('شيماء زغلول احمد'!U7)</f>
        <v>0</v>
      </c>
      <c r="V13" s="20">
        <f>VALUE('شيماء زغلول احمد'!V7)</f>
        <v>0</v>
      </c>
      <c r="W13" s="20">
        <f>VALUE('شيماء زغلول احمد'!W7)</f>
        <v>0</v>
      </c>
      <c r="X13" s="20">
        <f>VALUE('شيماء زغلول احمد'!X7)</f>
        <v>0</v>
      </c>
      <c r="Y13" s="20">
        <f>VALUE('شيماء زغلول احمد'!Y7)</f>
        <v>0</v>
      </c>
      <c r="Z13" s="13">
        <f>SUM('شيماء زغلول احمد'!Z7:AB7)</f>
        <v>0</v>
      </c>
      <c r="AA13" s="20">
        <f>VALUE('شيماء زغلول احمد'!AC7)</f>
        <v>0</v>
      </c>
      <c r="AB13" s="13">
        <f t="shared" ref="AB13:AB14" si="8">SUM(C13:AA13)</f>
        <v>0</v>
      </c>
      <c r="AC13" s="13">
        <f t="shared" ref="AC13:AC14" si="9">SUM(J13:U13)</f>
        <v>0</v>
      </c>
      <c r="AD13" s="71"/>
      <c r="AE13" s="64"/>
    </row>
    <row r="14" spans="1:31" ht="15" customHeight="1" thickBot="1">
      <c r="A14" s="69"/>
      <c r="B14" s="16" t="s">
        <v>43</v>
      </c>
      <c r="C14" s="16">
        <f>VALUE('شيماء زغلول احمد'!C8)</f>
        <v>0</v>
      </c>
      <c r="D14" s="16">
        <f>VALUE('شيماء زغلول احمد'!D8)</f>
        <v>0</v>
      </c>
      <c r="E14" s="16">
        <f>VALUE('شيماء زغلول احمد'!E8)</f>
        <v>0</v>
      </c>
      <c r="F14" s="16">
        <f>VALUE('شيماء زغلول احمد'!F8)</f>
        <v>0</v>
      </c>
      <c r="G14" s="16">
        <f>VALUE('شيماء زغلول احمد'!G8)</f>
        <v>0</v>
      </c>
      <c r="H14" s="16">
        <f>VALUE('شيماء زغلول احمد'!H8)</f>
        <v>0</v>
      </c>
      <c r="I14" s="16">
        <f>VALUE('شيماء زغلول احمد'!I8)</f>
        <v>0</v>
      </c>
      <c r="J14" s="16">
        <f>VALUE('شيماء زغلول احمد'!J8)</f>
        <v>0</v>
      </c>
      <c r="K14" s="16">
        <f>VALUE('شيماء زغلول احمد'!K8)</f>
        <v>0</v>
      </c>
      <c r="L14" s="16">
        <f>VALUE('شيماء زغلول احمد'!L8)</f>
        <v>0</v>
      </c>
      <c r="M14" s="16">
        <f>VALUE('شيماء زغلول احمد'!M8)</f>
        <v>0</v>
      </c>
      <c r="N14" s="16">
        <f>VALUE('شيماء زغلول احمد'!N8)</f>
        <v>0</v>
      </c>
      <c r="O14" s="16">
        <f>VALUE('شيماء زغلول احمد'!O8)</f>
        <v>0</v>
      </c>
      <c r="P14" s="16">
        <f>VALUE('شيماء زغلول احمد'!P8)</f>
        <v>0</v>
      </c>
      <c r="Q14" s="16">
        <f>VALUE('شيماء زغلول احمد'!Q8)</f>
        <v>0</v>
      </c>
      <c r="R14" s="16">
        <f>VALUE('شيماء زغلول احمد'!R8)</f>
        <v>0</v>
      </c>
      <c r="S14" s="16">
        <f>VALUE('شيماء زغلول احمد'!S8)</f>
        <v>0</v>
      </c>
      <c r="T14" s="16">
        <f>VALUE('شيماء زغلول احمد'!T8)</f>
        <v>0</v>
      </c>
      <c r="U14" s="16">
        <f>VALUE('شيماء زغلول احمد'!U8)</f>
        <v>0</v>
      </c>
      <c r="V14" s="16">
        <f>VALUE('شيماء زغلول احمد'!V8)</f>
        <v>0</v>
      </c>
      <c r="W14" s="16">
        <f>VALUE('شيماء زغلول احمد'!W8)</f>
        <v>0</v>
      </c>
      <c r="X14" s="16">
        <f>VALUE('شيماء زغلول احمد'!X8)</f>
        <v>0</v>
      </c>
      <c r="Y14" s="16">
        <f>VALUE('شيماء زغلول احمد'!Y8)</f>
        <v>0</v>
      </c>
      <c r="Z14" s="16">
        <f>SUM('شيماء زغلول احمد'!Z8:AB8)</f>
        <v>0</v>
      </c>
      <c r="AA14" s="16">
        <f>VALUE('شيماء زغلول احمد'!AC8)</f>
        <v>0</v>
      </c>
      <c r="AB14" s="16">
        <f t="shared" si="8"/>
        <v>0</v>
      </c>
      <c r="AC14" s="16">
        <f t="shared" si="9"/>
        <v>0</v>
      </c>
      <c r="AD14" s="71"/>
      <c r="AE14" s="64"/>
    </row>
    <row r="15" spans="1:31" ht="15" customHeight="1" thickBot="1">
      <c r="A15" s="69" t="s">
        <v>67</v>
      </c>
      <c r="B15" s="19" t="s">
        <v>41</v>
      </c>
      <c r="C15" s="19">
        <f>VALUE('كريستين ماجد الفونس'!C6)</f>
        <v>0</v>
      </c>
      <c r="D15" s="19">
        <f>VALUE('كريستين ماجد الفونس'!D6)</f>
        <v>1</v>
      </c>
      <c r="E15" s="19">
        <f>VALUE('كريستين ماجد الفونس'!E6)</f>
        <v>0</v>
      </c>
      <c r="F15" s="19">
        <f>VALUE('كريستين ماجد الفونس'!F6)</f>
        <v>0</v>
      </c>
      <c r="G15" s="19">
        <f>VALUE('كريستين ماجد الفونس'!G6)</f>
        <v>0</v>
      </c>
      <c r="H15" s="19">
        <f>VALUE('كريستين ماجد الفونس'!H6)</f>
        <v>0</v>
      </c>
      <c r="I15" s="19">
        <f>VALUE('كريستين ماجد الفونس'!I6)</f>
        <v>0</v>
      </c>
      <c r="J15" s="19">
        <f>VALUE('كريستين ماجد الفونس'!J6)</f>
        <v>0</v>
      </c>
      <c r="K15" s="19">
        <f>VALUE('كريستين ماجد الفونس'!K6)</f>
        <v>0</v>
      </c>
      <c r="L15" s="19">
        <f>VALUE('كريستين ماجد الفونس'!L6)</f>
        <v>0</v>
      </c>
      <c r="M15" s="19">
        <f>VALUE('كريستين ماجد الفونس'!M6)</f>
        <v>0</v>
      </c>
      <c r="N15" s="19">
        <f>VALUE('كريستين ماجد الفونس'!N6)</f>
        <v>0</v>
      </c>
      <c r="O15" s="19">
        <f>VALUE('كريستين ماجد الفونس'!O6)</f>
        <v>0</v>
      </c>
      <c r="P15" s="19">
        <f>VALUE('كريستين ماجد الفونس'!P6)</f>
        <v>2</v>
      </c>
      <c r="Q15" s="19">
        <f>VALUE('كريستين ماجد الفونس'!Q6)</f>
        <v>0</v>
      </c>
      <c r="R15" s="19">
        <f>VALUE('كريستين ماجد الفونس'!R6)</f>
        <v>0</v>
      </c>
      <c r="S15" s="19">
        <f>VALUE('كريستين ماجد الفونس'!S6)</f>
        <v>0</v>
      </c>
      <c r="T15" s="19">
        <f>VALUE('كريستين ماجد الفونس'!T6)</f>
        <v>0</v>
      </c>
      <c r="U15" s="19">
        <f>VALUE('كريستين ماجد الفونس'!U6)</f>
        <v>0</v>
      </c>
      <c r="V15" s="19">
        <f>VALUE('كريستين ماجد الفونس'!V6)</f>
        <v>8</v>
      </c>
      <c r="W15" s="19">
        <f>VALUE('كريستين ماجد الفونس'!W6)</f>
        <v>0</v>
      </c>
      <c r="X15" s="19">
        <f>VALUE('كريستين ماجد الفونس'!X6)</f>
        <v>1</v>
      </c>
      <c r="Y15" s="19">
        <f>VALUE('كريستين ماجد الفونس'!Y6)</f>
        <v>0</v>
      </c>
      <c r="Z15" s="19">
        <f>SUM('كريستين ماجد الفونس'!Z6:AB6)</f>
        <v>0</v>
      </c>
      <c r="AA15" s="19">
        <f>VALUE('كريستين ماجد الفونس'!AC6)</f>
        <v>0</v>
      </c>
      <c r="AB15" s="19">
        <f>SUM(C15:AA15)</f>
        <v>12</v>
      </c>
      <c r="AC15" s="19">
        <f>SUM(J15:U15)</f>
        <v>2</v>
      </c>
      <c r="AD15" s="71">
        <f t="shared" ref="AD15" si="10">SUM(AC15:AC17)</f>
        <v>2</v>
      </c>
      <c r="AE15" s="64">
        <f t="shared" ref="AE15" si="11">SUM(C15:U17)+W15+W16+W17</f>
        <v>3</v>
      </c>
    </row>
    <row r="16" spans="1:31" ht="15" customHeight="1" thickBot="1">
      <c r="A16" s="69"/>
      <c r="B16" s="13" t="s">
        <v>42</v>
      </c>
      <c r="C16" s="20">
        <f>VALUE('كريستين ماجد الفونس'!C7)</f>
        <v>0</v>
      </c>
      <c r="D16" s="20">
        <f>VALUE('كريستين ماجد الفونس'!D7)</f>
        <v>0</v>
      </c>
      <c r="E16" s="20">
        <f>VALUE('كريستين ماجد الفونس'!E7)</f>
        <v>0</v>
      </c>
      <c r="F16" s="20">
        <f>VALUE('كريستين ماجد الفونس'!F7)</f>
        <v>0</v>
      </c>
      <c r="G16" s="20">
        <f>VALUE('كريستين ماجد الفونس'!G7)</f>
        <v>0</v>
      </c>
      <c r="H16" s="20">
        <f>VALUE('كريستين ماجد الفونس'!H7)</f>
        <v>0</v>
      </c>
      <c r="I16" s="20">
        <f>VALUE('كريستين ماجد الفونس'!I7)</f>
        <v>0</v>
      </c>
      <c r="J16" s="20">
        <f>VALUE('كريستين ماجد الفونس'!J7)</f>
        <v>0</v>
      </c>
      <c r="K16" s="20">
        <f>VALUE('كريستين ماجد الفونس'!K7)</f>
        <v>0</v>
      </c>
      <c r="L16" s="20">
        <f>VALUE('كريستين ماجد الفونس'!L7)</f>
        <v>0</v>
      </c>
      <c r="M16" s="20">
        <f>VALUE('كريستين ماجد الفونس'!M7)</f>
        <v>0</v>
      </c>
      <c r="N16" s="20">
        <f>VALUE('كريستين ماجد الفونس'!N7)</f>
        <v>0</v>
      </c>
      <c r="O16" s="20">
        <f>VALUE('كريستين ماجد الفونس'!O7)</f>
        <v>0</v>
      </c>
      <c r="P16" s="20">
        <f>VALUE('كريستين ماجد الفونس'!P7)</f>
        <v>0</v>
      </c>
      <c r="Q16" s="20">
        <f>VALUE('كريستين ماجد الفونس'!Q7)</f>
        <v>0</v>
      </c>
      <c r="R16" s="20">
        <f>VALUE('كريستين ماجد الفونس'!R7)</f>
        <v>0</v>
      </c>
      <c r="S16" s="20">
        <f>VALUE('كريستين ماجد الفونس'!S7)</f>
        <v>0</v>
      </c>
      <c r="T16" s="20">
        <f>VALUE('كريستين ماجد الفونس'!T7)</f>
        <v>0</v>
      </c>
      <c r="U16" s="20">
        <f>VALUE('كريستين ماجد الفونس'!U7)</f>
        <v>0</v>
      </c>
      <c r="V16" s="20">
        <f>VALUE('كريستين ماجد الفونس'!V7)</f>
        <v>0</v>
      </c>
      <c r="W16" s="20">
        <f>VALUE('كريستين ماجد الفونس'!W7)</f>
        <v>0</v>
      </c>
      <c r="X16" s="20">
        <f>VALUE('كريستين ماجد الفونس'!X7)</f>
        <v>0</v>
      </c>
      <c r="Y16" s="20">
        <f>VALUE('كريستين ماجد الفونس'!Y7)</f>
        <v>0</v>
      </c>
      <c r="Z16" s="20">
        <f>SUM('كريستين ماجد الفونس'!Z7:AB7)</f>
        <v>0</v>
      </c>
      <c r="AA16" s="20">
        <f>VALUE('كريستين ماجد الفونس'!AC7)</f>
        <v>0</v>
      </c>
      <c r="AB16" s="13">
        <f t="shared" ref="AB16:AB17" si="12">SUM(C16:AA16)</f>
        <v>0</v>
      </c>
      <c r="AC16" s="13">
        <f t="shared" ref="AC16:AC17" si="13">SUM(J16:U16)</f>
        <v>0</v>
      </c>
      <c r="AD16" s="71"/>
      <c r="AE16" s="64"/>
    </row>
    <row r="17" spans="1:31" ht="15" customHeight="1" thickBot="1">
      <c r="A17" s="69"/>
      <c r="B17" s="16" t="s">
        <v>43</v>
      </c>
      <c r="C17" s="16">
        <f>VALUE('كريستين ماجد الفونس'!C8)</f>
        <v>0</v>
      </c>
      <c r="D17" s="16">
        <f>VALUE('كريستين ماجد الفونس'!D8)</f>
        <v>0</v>
      </c>
      <c r="E17" s="16">
        <f>VALUE('كريستين ماجد الفونس'!E8)</f>
        <v>0</v>
      </c>
      <c r="F17" s="16">
        <f>VALUE('كريستين ماجد الفونس'!F8)</f>
        <v>0</v>
      </c>
      <c r="G17" s="16">
        <f>VALUE('كريستين ماجد الفونس'!G8)</f>
        <v>0</v>
      </c>
      <c r="H17" s="16">
        <f>VALUE('كريستين ماجد الفونس'!H8)</f>
        <v>0</v>
      </c>
      <c r="I17" s="16">
        <f>VALUE('كريستين ماجد الفونس'!I8)</f>
        <v>0</v>
      </c>
      <c r="J17" s="16">
        <f>VALUE('كريستين ماجد الفونس'!J8)</f>
        <v>0</v>
      </c>
      <c r="K17" s="16">
        <f>VALUE('كريستين ماجد الفونس'!K8)</f>
        <v>0</v>
      </c>
      <c r="L17" s="16">
        <f>VALUE('كريستين ماجد الفونس'!L8)</f>
        <v>0</v>
      </c>
      <c r="M17" s="16">
        <f>VALUE('كريستين ماجد الفونس'!M8)</f>
        <v>0</v>
      </c>
      <c r="N17" s="16">
        <f>VALUE('كريستين ماجد الفونس'!N8)</f>
        <v>0</v>
      </c>
      <c r="O17" s="16">
        <f>VALUE('كريستين ماجد الفونس'!O8)</f>
        <v>0</v>
      </c>
      <c r="P17" s="16">
        <f>VALUE('كريستين ماجد الفونس'!P8)</f>
        <v>0</v>
      </c>
      <c r="Q17" s="16">
        <f>VALUE('كريستين ماجد الفونس'!Q8)</f>
        <v>0</v>
      </c>
      <c r="R17" s="16">
        <f>VALUE('كريستين ماجد الفونس'!R8)</f>
        <v>0</v>
      </c>
      <c r="S17" s="16">
        <f>VALUE('كريستين ماجد الفونس'!S8)</f>
        <v>0</v>
      </c>
      <c r="T17" s="16">
        <f>VALUE('كريستين ماجد الفونس'!T8)</f>
        <v>0</v>
      </c>
      <c r="U17" s="16">
        <f>VALUE('كريستين ماجد الفونس'!U8)</f>
        <v>0</v>
      </c>
      <c r="V17" s="16">
        <f>VALUE('كريستين ماجد الفونس'!V8)</f>
        <v>0</v>
      </c>
      <c r="W17" s="16">
        <f>VALUE('كريستين ماجد الفونس'!W8)</f>
        <v>0</v>
      </c>
      <c r="X17" s="16">
        <f>VALUE('كريستين ماجد الفونس'!X8)</f>
        <v>0</v>
      </c>
      <c r="Y17" s="16">
        <f>VALUE('كريستين ماجد الفونس'!Y8)</f>
        <v>0</v>
      </c>
      <c r="Z17" s="16">
        <f>SUM('كريستين ماجد الفونس'!Z8:AB8)</f>
        <v>2</v>
      </c>
      <c r="AA17" s="16">
        <f>VALUE('كريستين ماجد الفونس'!AC8)</f>
        <v>0</v>
      </c>
      <c r="AB17" s="16">
        <f t="shared" si="12"/>
        <v>2</v>
      </c>
      <c r="AC17" s="16">
        <f t="shared" si="13"/>
        <v>0</v>
      </c>
      <c r="AD17" s="71"/>
      <c r="AE17" s="64"/>
    </row>
    <row r="18" spans="1:31" ht="15" customHeight="1" thickBot="1">
      <c r="A18" s="69" t="s">
        <v>68</v>
      </c>
      <c r="B18" s="19" t="s">
        <v>41</v>
      </c>
      <c r="C18" s="19">
        <f>VALUE('ساندي عماد منير'!C6)</f>
        <v>0</v>
      </c>
      <c r="D18" s="19">
        <f>VALUE('ساندي عماد منير'!D6)</f>
        <v>6</v>
      </c>
      <c r="E18" s="19">
        <f>VALUE('ساندي عماد منير'!E6)</f>
        <v>3</v>
      </c>
      <c r="F18" s="19">
        <f>VALUE('ساندي عماد منير'!F6)</f>
        <v>0</v>
      </c>
      <c r="G18" s="19">
        <f>VALUE('ساندي عماد منير'!G6)</f>
        <v>0</v>
      </c>
      <c r="H18" s="19">
        <f>VALUE('ساندي عماد منير'!H6)</f>
        <v>0</v>
      </c>
      <c r="I18" s="19">
        <f>VALUE('ساندي عماد منير'!I6)</f>
        <v>0</v>
      </c>
      <c r="J18" s="19">
        <f>VALUE('ساندي عماد منير'!J6)</f>
        <v>0</v>
      </c>
      <c r="K18" s="19">
        <f>VALUE('ساندي عماد منير'!K6)</f>
        <v>0</v>
      </c>
      <c r="L18" s="19">
        <f>VALUE('ساندي عماد منير'!L6)</f>
        <v>0</v>
      </c>
      <c r="M18" s="19">
        <f>VALUE('ساندي عماد منير'!M6)</f>
        <v>0</v>
      </c>
      <c r="N18" s="19">
        <f>VALUE('ساندي عماد منير'!N6)</f>
        <v>0</v>
      </c>
      <c r="O18" s="19">
        <f>VALUE('ساندي عماد منير'!O6)</f>
        <v>1</v>
      </c>
      <c r="P18" s="19">
        <f>VALUE('ساندي عماد منير'!P6)</f>
        <v>1</v>
      </c>
      <c r="Q18" s="19">
        <f>VALUE('ساندي عماد منير'!Q6)</f>
        <v>2</v>
      </c>
      <c r="R18" s="19">
        <f>VALUE('ساندي عماد منير'!R6)</f>
        <v>1</v>
      </c>
      <c r="S18" s="19">
        <f>VALUE('ساندي عماد منير'!S6)</f>
        <v>0</v>
      </c>
      <c r="T18" s="19">
        <f>VALUE('ساندي عماد منير'!T6)</f>
        <v>4</v>
      </c>
      <c r="U18" s="19">
        <f>VALUE('ساندي عماد منير'!U6)</f>
        <v>1</v>
      </c>
      <c r="V18" s="19">
        <f>VALUE('ساندي عماد منير'!V6)</f>
        <v>9</v>
      </c>
      <c r="W18" s="19">
        <f>VALUE('ساندي عماد منير'!W6)</f>
        <v>2</v>
      </c>
      <c r="X18" s="19">
        <f>VALUE('ساندي عماد منير'!X6)</f>
        <v>6</v>
      </c>
      <c r="Y18" s="19">
        <f>VALUE('ساندي عماد منير'!Y6)</f>
        <v>0</v>
      </c>
      <c r="Z18" s="19">
        <f>SUM('ساندي عماد منير'!Z6:AB6)</f>
        <v>0</v>
      </c>
      <c r="AA18" s="19">
        <f>VALUE('ساندي عماد منير'!AC6)</f>
        <v>0</v>
      </c>
      <c r="AB18" s="19">
        <f>SUM(C18:AA18)</f>
        <v>36</v>
      </c>
      <c r="AC18" s="19">
        <f>SUM(J18:U18)</f>
        <v>10</v>
      </c>
      <c r="AD18" s="71">
        <f t="shared" ref="AD18" si="14">SUM(AC18:AC20)</f>
        <v>11</v>
      </c>
      <c r="AE18" s="64">
        <f t="shared" ref="AE18" si="15">SUM(C18:U20)+W18+W19+W20</f>
        <v>23</v>
      </c>
    </row>
    <row r="19" spans="1:31" ht="15" customHeight="1" thickBot="1">
      <c r="A19" s="69"/>
      <c r="B19" s="13" t="s">
        <v>42</v>
      </c>
      <c r="C19" s="20">
        <f>VALUE('ساندي عماد منير'!C7)</f>
        <v>0</v>
      </c>
      <c r="D19" s="20">
        <f>VALUE('ساندي عماد منير'!D7)</f>
        <v>0</v>
      </c>
      <c r="E19" s="20">
        <f>VALUE('ساندي عماد منير'!E7)</f>
        <v>0</v>
      </c>
      <c r="F19" s="20">
        <f>VALUE('ساندي عماد منير'!F7)</f>
        <v>0</v>
      </c>
      <c r="G19" s="20">
        <f>VALUE('ساندي عماد منير'!G7)</f>
        <v>0</v>
      </c>
      <c r="H19" s="20">
        <f>VALUE('ساندي عماد منير'!H7)</f>
        <v>0</v>
      </c>
      <c r="I19" s="20">
        <f>VALUE('ساندي عماد منير'!I7)</f>
        <v>0</v>
      </c>
      <c r="J19" s="20">
        <f>VALUE('ساندي عماد منير'!J7)</f>
        <v>0</v>
      </c>
      <c r="K19" s="20">
        <f>VALUE('ساندي عماد منير'!K7)</f>
        <v>0</v>
      </c>
      <c r="L19" s="20">
        <f>VALUE('ساندي عماد منير'!L7)</f>
        <v>0</v>
      </c>
      <c r="M19" s="20">
        <f>VALUE('ساندي عماد منير'!M7)</f>
        <v>0</v>
      </c>
      <c r="N19" s="20">
        <f>VALUE('ساندي عماد منير'!N7)</f>
        <v>0</v>
      </c>
      <c r="O19" s="20">
        <f>VALUE('ساندي عماد منير'!O7)</f>
        <v>0</v>
      </c>
      <c r="P19" s="20">
        <f>VALUE('ساندي عماد منير'!P7)</f>
        <v>0</v>
      </c>
      <c r="Q19" s="20">
        <f>VALUE('ساندي عماد منير'!Q7)</f>
        <v>0</v>
      </c>
      <c r="R19" s="20">
        <f>VALUE('ساندي عماد منير'!R7)</f>
        <v>0</v>
      </c>
      <c r="S19" s="20">
        <f>VALUE('ساندي عماد منير'!S7)</f>
        <v>0</v>
      </c>
      <c r="T19" s="20">
        <f>VALUE('ساندي عماد منير'!T7)</f>
        <v>0</v>
      </c>
      <c r="U19" s="20">
        <f>VALUE('ساندي عماد منير'!U7)</f>
        <v>0</v>
      </c>
      <c r="V19" s="20">
        <f>VALUE('ساندي عماد منير'!V7)</f>
        <v>0</v>
      </c>
      <c r="W19" s="20">
        <f>VALUE('ساندي عماد منير'!W7)</f>
        <v>0</v>
      </c>
      <c r="X19" s="20">
        <f>VALUE('ساندي عماد منير'!X7)</f>
        <v>0</v>
      </c>
      <c r="Y19" s="20">
        <f>VALUE('ساندي عماد منير'!Y7)</f>
        <v>0</v>
      </c>
      <c r="Z19" s="20">
        <f>SUM('ساندي عماد منير'!Z7:AB7)</f>
        <v>0</v>
      </c>
      <c r="AA19" s="20">
        <f>VALUE('ساندي عماد منير'!AC7)</f>
        <v>0</v>
      </c>
      <c r="AB19" s="13">
        <f t="shared" ref="AB19:AB20" si="16">SUM(C19:AA19)</f>
        <v>0</v>
      </c>
      <c r="AC19" s="13">
        <f t="shared" ref="AC19:AC20" si="17">SUM(J19:U19)</f>
        <v>0</v>
      </c>
      <c r="AD19" s="71"/>
      <c r="AE19" s="64"/>
    </row>
    <row r="20" spans="1:31" ht="15" customHeight="1" thickBot="1">
      <c r="A20" s="69"/>
      <c r="B20" s="16" t="s">
        <v>43</v>
      </c>
      <c r="C20" s="16">
        <f>VALUE('ساندي عماد منير'!C8)</f>
        <v>0</v>
      </c>
      <c r="D20" s="16">
        <f>VALUE('ساندي عماد منير'!D8)</f>
        <v>0</v>
      </c>
      <c r="E20" s="16">
        <f>VALUE('ساندي عماد منير'!E8)</f>
        <v>0</v>
      </c>
      <c r="F20" s="16">
        <f>VALUE('ساندي عماد منير'!F8)</f>
        <v>0</v>
      </c>
      <c r="G20" s="16">
        <f>VALUE('ساندي عماد منير'!G8)</f>
        <v>0</v>
      </c>
      <c r="H20" s="16">
        <f>VALUE('ساندي عماد منير'!H8)</f>
        <v>1</v>
      </c>
      <c r="I20" s="16">
        <f>VALUE('ساندي عماد منير'!I8)</f>
        <v>0</v>
      </c>
      <c r="J20" s="16">
        <f>VALUE('ساندي عماد منير'!J8)</f>
        <v>0</v>
      </c>
      <c r="K20" s="16">
        <f>VALUE('ساندي عماد منير'!K8)</f>
        <v>0</v>
      </c>
      <c r="L20" s="16">
        <f>VALUE('ساندي عماد منير'!L8)</f>
        <v>0</v>
      </c>
      <c r="M20" s="16">
        <f>VALUE('ساندي عماد منير'!M8)</f>
        <v>0</v>
      </c>
      <c r="N20" s="16">
        <f>VALUE('ساندي عماد منير'!N8)</f>
        <v>0</v>
      </c>
      <c r="O20" s="16">
        <f>VALUE('ساندي عماد منير'!O8)</f>
        <v>0</v>
      </c>
      <c r="P20" s="16">
        <f>VALUE('ساندي عماد منير'!P8)</f>
        <v>0</v>
      </c>
      <c r="Q20" s="16">
        <f>VALUE('ساندي عماد منير'!Q8)</f>
        <v>0</v>
      </c>
      <c r="R20" s="16">
        <f>VALUE('ساندي عماد منير'!R8)</f>
        <v>0</v>
      </c>
      <c r="S20" s="16">
        <f>VALUE('ساندي عماد منير'!S8)</f>
        <v>0</v>
      </c>
      <c r="T20" s="16">
        <f>VALUE('ساندي عماد منير'!T8)</f>
        <v>0</v>
      </c>
      <c r="U20" s="16">
        <f>VALUE('ساندي عماد منير'!U8)</f>
        <v>1</v>
      </c>
      <c r="V20" s="16">
        <f>VALUE('ساندي عماد منير'!V8)</f>
        <v>0</v>
      </c>
      <c r="W20" s="16">
        <f>VALUE('ساندي عماد منير'!W8)</f>
        <v>0</v>
      </c>
      <c r="X20" s="16">
        <f>VALUE('ساندي عماد منير'!X8)</f>
        <v>0</v>
      </c>
      <c r="Y20" s="16">
        <f>VALUE('ساندي عماد منير'!Y8)</f>
        <v>0</v>
      </c>
      <c r="Z20" s="16">
        <f>SUM('ساندي عماد منير'!Z8:AB8)</f>
        <v>8</v>
      </c>
      <c r="AA20" s="16">
        <f>VALUE('ساندي عماد منير'!AC8)</f>
        <v>0</v>
      </c>
      <c r="AB20" s="16">
        <f t="shared" si="16"/>
        <v>10</v>
      </c>
      <c r="AC20" s="16">
        <f t="shared" si="17"/>
        <v>1</v>
      </c>
      <c r="AD20" s="71"/>
      <c r="AE20" s="64"/>
    </row>
    <row r="21" spans="1:31" ht="15" customHeight="1" thickBot="1">
      <c r="A21" s="69" t="s">
        <v>69</v>
      </c>
      <c r="B21" s="19" t="s">
        <v>41</v>
      </c>
      <c r="C21" s="19">
        <f>VALUE('ياسر عبدالرحمن'!C6)</f>
        <v>0</v>
      </c>
      <c r="D21" s="19">
        <f>VALUE('ياسر عبدالرحمن'!D6)</f>
        <v>0</v>
      </c>
      <c r="E21" s="19">
        <f>VALUE('ياسر عبدالرحمن'!E6)</f>
        <v>0</v>
      </c>
      <c r="F21" s="19">
        <f>VALUE('ياسر عبدالرحمن'!F6)</f>
        <v>0</v>
      </c>
      <c r="G21" s="19">
        <f>VALUE('ياسر عبدالرحمن'!G6)</f>
        <v>0</v>
      </c>
      <c r="H21" s="19">
        <f>VALUE('ياسر عبدالرحمن'!H6)</f>
        <v>0</v>
      </c>
      <c r="I21" s="19">
        <f>VALUE('ياسر عبدالرحمن'!I6)</f>
        <v>0</v>
      </c>
      <c r="J21" s="19">
        <f>VALUE('ياسر عبدالرحمن'!J6)</f>
        <v>0</v>
      </c>
      <c r="K21" s="19">
        <f>VALUE('ياسر عبدالرحمن'!K6)</f>
        <v>0</v>
      </c>
      <c r="L21" s="19">
        <f>VALUE('ياسر عبدالرحمن'!L6)</f>
        <v>0</v>
      </c>
      <c r="M21" s="19">
        <f>VALUE('ياسر عبدالرحمن'!M6)</f>
        <v>0</v>
      </c>
      <c r="N21" s="19">
        <f>VALUE('ياسر عبدالرحمن'!N6)</f>
        <v>0</v>
      </c>
      <c r="O21" s="19">
        <f>VALUE('ياسر عبدالرحمن'!O6)</f>
        <v>0</v>
      </c>
      <c r="P21" s="19">
        <f>VALUE('ياسر عبدالرحمن'!P6)</f>
        <v>0</v>
      </c>
      <c r="Q21" s="19">
        <f>VALUE('ياسر عبدالرحمن'!Q6)</f>
        <v>0</v>
      </c>
      <c r="R21" s="19">
        <f>VALUE('ياسر عبدالرحمن'!R6)</f>
        <v>0</v>
      </c>
      <c r="S21" s="19">
        <f>VALUE('ياسر عبدالرحمن'!S6)</f>
        <v>0</v>
      </c>
      <c r="T21" s="19">
        <f>VALUE('ياسر عبدالرحمن'!T6)</f>
        <v>0</v>
      </c>
      <c r="U21" s="19">
        <f>VALUE('ياسر عبدالرحمن'!U6)</f>
        <v>0</v>
      </c>
      <c r="V21" s="19">
        <f>VALUE('ياسر عبدالرحمن'!V6)</f>
        <v>0</v>
      </c>
      <c r="W21" s="19">
        <f>VALUE('ياسر عبدالرحمن'!W6)</f>
        <v>0</v>
      </c>
      <c r="X21" s="19">
        <f>VALUE('ياسر عبدالرحمن'!X6)</f>
        <v>0</v>
      </c>
      <c r="Y21" s="19">
        <f>VALUE('ياسر عبدالرحمن'!Y6)</f>
        <v>0</v>
      </c>
      <c r="Z21" s="19">
        <f>SUM('ياسر عبدالرحمن'!Z6:AB6)</f>
        <v>0</v>
      </c>
      <c r="AA21" s="19">
        <f>VALUE('ياسر عبدالرحمن'!AC6)</f>
        <v>0</v>
      </c>
      <c r="AB21" s="19">
        <f>SUM(C21:AA21)</f>
        <v>0</v>
      </c>
      <c r="AC21" s="19">
        <f>SUM(J21:U21)</f>
        <v>0</v>
      </c>
      <c r="AD21" s="71">
        <f t="shared" ref="AD21" si="18">SUM(AC21:AC23)</f>
        <v>0</v>
      </c>
      <c r="AE21" s="64">
        <f t="shared" ref="AE21" si="19">SUM(C21:U23)+W21+W22+W23</f>
        <v>0</v>
      </c>
    </row>
    <row r="22" spans="1:31" ht="15" customHeight="1" thickBot="1">
      <c r="A22" s="69"/>
      <c r="B22" s="13" t="s">
        <v>42</v>
      </c>
      <c r="C22" s="20">
        <f>VALUE('ياسر عبدالرحمن'!C7)</f>
        <v>0</v>
      </c>
      <c r="D22" s="20">
        <f>VALUE('ياسر عبدالرحمن'!D7)</f>
        <v>0</v>
      </c>
      <c r="E22" s="20">
        <f>VALUE('ياسر عبدالرحمن'!E7)</f>
        <v>0</v>
      </c>
      <c r="F22" s="20">
        <f>VALUE('ياسر عبدالرحمن'!F7)</f>
        <v>0</v>
      </c>
      <c r="G22" s="20">
        <f>VALUE('ياسر عبدالرحمن'!G7)</f>
        <v>0</v>
      </c>
      <c r="H22" s="20">
        <f>VALUE('ياسر عبدالرحمن'!H7)</f>
        <v>0</v>
      </c>
      <c r="I22" s="20">
        <f>VALUE('ياسر عبدالرحمن'!I7)</f>
        <v>0</v>
      </c>
      <c r="J22" s="20">
        <f>VALUE('ياسر عبدالرحمن'!J7)</f>
        <v>0</v>
      </c>
      <c r="K22" s="20">
        <f>VALUE('ياسر عبدالرحمن'!K7)</f>
        <v>0</v>
      </c>
      <c r="L22" s="20">
        <f>VALUE('ياسر عبدالرحمن'!L7)</f>
        <v>0</v>
      </c>
      <c r="M22" s="20">
        <f>VALUE('ياسر عبدالرحمن'!M7)</f>
        <v>0</v>
      </c>
      <c r="N22" s="20">
        <f>VALUE('ياسر عبدالرحمن'!N7)</f>
        <v>0</v>
      </c>
      <c r="O22" s="20">
        <f>VALUE('ياسر عبدالرحمن'!O7)</f>
        <v>0</v>
      </c>
      <c r="P22" s="20">
        <f>VALUE('ياسر عبدالرحمن'!P7)</f>
        <v>0</v>
      </c>
      <c r="Q22" s="20">
        <f>VALUE('ياسر عبدالرحمن'!Q7)</f>
        <v>0</v>
      </c>
      <c r="R22" s="20">
        <f>VALUE('ياسر عبدالرحمن'!R7)</f>
        <v>0</v>
      </c>
      <c r="S22" s="20">
        <f>VALUE('ياسر عبدالرحمن'!S7)</f>
        <v>0</v>
      </c>
      <c r="T22" s="20">
        <f>VALUE('ياسر عبدالرحمن'!T7)</f>
        <v>0</v>
      </c>
      <c r="U22" s="20">
        <f>VALUE('ياسر عبدالرحمن'!U7)</f>
        <v>0</v>
      </c>
      <c r="V22" s="20">
        <f>VALUE('ياسر عبدالرحمن'!V7)</f>
        <v>0</v>
      </c>
      <c r="W22" s="20">
        <f>VALUE('ياسر عبدالرحمن'!W7)</f>
        <v>0</v>
      </c>
      <c r="X22" s="20">
        <f>VALUE('ياسر عبدالرحمن'!X7)</f>
        <v>0</v>
      </c>
      <c r="Y22" s="20">
        <f>VALUE('ياسر عبدالرحمن'!Y7)</f>
        <v>0</v>
      </c>
      <c r="Z22" s="20">
        <f>SUM('ياسر عبدالرحمن'!Z7:AB7)</f>
        <v>0</v>
      </c>
      <c r="AA22" s="20">
        <f>VALUE('ياسر عبدالرحمن'!AC7)</f>
        <v>0</v>
      </c>
      <c r="AB22" s="13">
        <f t="shared" ref="AB22:AB23" si="20">SUM(C22:AA22)</f>
        <v>0</v>
      </c>
      <c r="AC22" s="13">
        <f t="shared" ref="AC22:AC23" si="21">SUM(J22:U22)</f>
        <v>0</v>
      </c>
      <c r="AD22" s="71"/>
      <c r="AE22" s="64"/>
    </row>
    <row r="23" spans="1:31" ht="15" customHeight="1" thickBot="1">
      <c r="A23" s="69"/>
      <c r="B23" s="16" t="s">
        <v>43</v>
      </c>
      <c r="C23" s="16">
        <f>VALUE('ياسر عبدالرحمن'!C8)</f>
        <v>0</v>
      </c>
      <c r="D23" s="16">
        <f>VALUE('ياسر عبدالرحمن'!D8)</f>
        <v>0</v>
      </c>
      <c r="E23" s="16">
        <f>VALUE('ياسر عبدالرحمن'!E8)</f>
        <v>0</v>
      </c>
      <c r="F23" s="16">
        <f>VALUE('ياسر عبدالرحمن'!F8)</f>
        <v>0</v>
      </c>
      <c r="G23" s="16">
        <f>VALUE('ياسر عبدالرحمن'!G8)</f>
        <v>0</v>
      </c>
      <c r="H23" s="16">
        <f>VALUE('ياسر عبدالرحمن'!H8)</f>
        <v>0</v>
      </c>
      <c r="I23" s="16">
        <f>VALUE('ياسر عبدالرحمن'!I8)</f>
        <v>0</v>
      </c>
      <c r="J23" s="16">
        <f>VALUE('ياسر عبدالرحمن'!J8)</f>
        <v>0</v>
      </c>
      <c r="K23" s="16">
        <f>VALUE('ياسر عبدالرحمن'!K8)</f>
        <v>0</v>
      </c>
      <c r="L23" s="16">
        <f>VALUE('ياسر عبدالرحمن'!L8)</f>
        <v>0</v>
      </c>
      <c r="M23" s="16">
        <f>VALUE('ياسر عبدالرحمن'!M8)</f>
        <v>0</v>
      </c>
      <c r="N23" s="16">
        <f>VALUE('ياسر عبدالرحمن'!N8)</f>
        <v>0</v>
      </c>
      <c r="O23" s="16">
        <f>VALUE('ياسر عبدالرحمن'!O8)</f>
        <v>0</v>
      </c>
      <c r="P23" s="16">
        <f>VALUE('ياسر عبدالرحمن'!P8)</f>
        <v>0</v>
      </c>
      <c r="Q23" s="16">
        <f>VALUE('ياسر عبدالرحمن'!Q8)</f>
        <v>0</v>
      </c>
      <c r="R23" s="16">
        <f>VALUE('ياسر عبدالرحمن'!R8)</f>
        <v>0</v>
      </c>
      <c r="S23" s="16">
        <f>VALUE('ياسر عبدالرحمن'!S8)</f>
        <v>0</v>
      </c>
      <c r="T23" s="16">
        <f>VALUE('ياسر عبدالرحمن'!T8)</f>
        <v>0</v>
      </c>
      <c r="U23" s="16">
        <f>VALUE('ياسر عبدالرحمن'!U8)</f>
        <v>0</v>
      </c>
      <c r="V23" s="16">
        <f>VALUE('ياسر عبدالرحمن'!V8)</f>
        <v>0</v>
      </c>
      <c r="W23" s="16">
        <f>VALUE('ياسر عبدالرحمن'!W8)</f>
        <v>0</v>
      </c>
      <c r="X23" s="16">
        <f>VALUE('ياسر عبدالرحمن'!X8)</f>
        <v>0</v>
      </c>
      <c r="Y23" s="16">
        <f>VALUE('ياسر عبدالرحمن'!Y8)</f>
        <v>0</v>
      </c>
      <c r="Z23" s="16">
        <f>SUM('ياسر عبدالرحمن'!Z8:AB8)</f>
        <v>0</v>
      </c>
      <c r="AA23" s="16">
        <f>VALUE('ياسر عبدالرحمن'!AC8)</f>
        <v>0</v>
      </c>
      <c r="AB23" s="16">
        <f t="shared" si="20"/>
        <v>0</v>
      </c>
      <c r="AC23" s="16">
        <f t="shared" si="21"/>
        <v>0</v>
      </c>
      <c r="AD23" s="71"/>
      <c r="AE23" s="64"/>
    </row>
    <row r="24" spans="1:31" ht="15" customHeight="1" thickBot="1">
      <c r="A24" s="69" t="s">
        <v>70</v>
      </c>
      <c r="B24" s="19" t="s">
        <v>41</v>
      </c>
      <c r="C24" s="19">
        <f>VALUE('ريم حسن فارس'!C6)</f>
        <v>0</v>
      </c>
      <c r="D24" s="19">
        <f>VALUE('ريم حسن فارس'!D6)</f>
        <v>0</v>
      </c>
      <c r="E24" s="19">
        <f>VALUE('ريم حسن فارس'!E6)</f>
        <v>0</v>
      </c>
      <c r="F24" s="19">
        <f>VALUE('ريم حسن فارس'!F6)</f>
        <v>0</v>
      </c>
      <c r="G24" s="19">
        <f>VALUE('ريم حسن فارس'!G6)</f>
        <v>0</v>
      </c>
      <c r="H24" s="19">
        <f>VALUE('ريم حسن فارس'!H6)</f>
        <v>0</v>
      </c>
      <c r="I24" s="19">
        <f>VALUE('ريم حسن فارس'!I6)</f>
        <v>0</v>
      </c>
      <c r="J24" s="19">
        <f>VALUE('ريم حسن فارس'!J6)</f>
        <v>0</v>
      </c>
      <c r="K24" s="19">
        <f>VALUE('ريم حسن فارس'!K6)</f>
        <v>0</v>
      </c>
      <c r="L24" s="19">
        <f>VALUE('ريم حسن فارس'!L6)</f>
        <v>0</v>
      </c>
      <c r="M24" s="19">
        <f>VALUE('ريم حسن فارس'!M6)</f>
        <v>0</v>
      </c>
      <c r="N24" s="19">
        <f>VALUE('ريم حسن فارس'!N6)</f>
        <v>0</v>
      </c>
      <c r="O24" s="19">
        <f>VALUE('ريم حسن فارس'!O6)</f>
        <v>0</v>
      </c>
      <c r="P24" s="19">
        <f>VALUE('ريم حسن فارس'!P6)</f>
        <v>0</v>
      </c>
      <c r="Q24" s="19">
        <f>VALUE('ريم حسن فارس'!Q6)</f>
        <v>0</v>
      </c>
      <c r="R24" s="19">
        <f>VALUE('ريم حسن فارس'!R6)</f>
        <v>0</v>
      </c>
      <c r="S24" s="19">
        <f>VALUE('ريم حسن فارس'!S6)</f>
        <v>1</v>
      </c>
      <c r="T24" s="19">
        <f>VALUE('ريم حسن فارس'!T6)</f>
        <v>0</v>
      </c>
      <c r="U24" s="19">
        <f>VALUE('ريم حسن فارس'!U6)</f>
        <v>1</v>
      </c>
      <c r="V24" s="19">
        <f>VALUE('ريم حسن فارس'!V6)</f>
        <v>19</v>
      </c>
      <c r="W24" s="19">
        <f>VALUE('ريم حسن فارس'!W6)</f>
        <v>0</v>
      </c>
      <c r="X24" s="19">
        <f>VALUE('ريم حسن فارس'!X6)</f>
        <v>2</v>
      </c>
      <c r="Y24" s="19">
        <f>VALUE('ريم حسن فارس'!Y6)</f>
        <v>0</v>
      </c>
      <c r="Z24" s="19">
        <f>SUM('ريم حسن فارس'!Z6:AB6)</f>
        <v>0</v>
      </c>
      <c r="AA24" s="19">
        <f>VALUE('ريم حسن فارس'!AC6)</f>
        <v>0</v>
      </c>
      <c r="AB24" s="19">
        <f>SUM(C24:AA24)</f>
        <v>23</v>
      </c>
      <c r="AC24" s="19">
        <f>SUM(J24:U24)</f>
        <v>2</v>
      </c>
      <c r="AD24" s="71">
        <f t="shared" ref="AD24" si="22">SUM(AC24:AC26)</f>
        <v>2</v>
      </c>
      <c r="AE24" s="64">
        <f t="shared" ref="AE24" si="23">SUM(C24:U26)+W24+W25+W26</f>
        <v>2</v>
      </c>
    </row>
    <row r="25" spans="1:31" ht="15" customHeight="1" thickBot="1">
      <c r="A25" s="69"/>
      <c r="B25" s="13" t="s">
        <v>42</v>
      </c>
      <c r="C25" s="20">
        <f>VALUE('ريم حسن فارس'!C7)</f>
        <v>0</v>
      </c>
      <c r="D25" s="20">
        <f>VALUE('ريم حسن فارس'!D7)</f>
        <v>0</v>
      </c>
      <c r="E25" s="20">
        <f>VALUE('ريم حسن فارس'!E7)</f>
        <v>0</v>
      </c>
      <c r="F25" s="20">
        <f>VALUE('ريم حسن فارس'!F7)</f>
        <v>0</v>
      </c>
      <c r="G25" s="20">
        <f>VALUE('ريم حسن فارس'!G7)</f>
        <v>0</v>
      </c>
      <c r="H25" s="20">
        <f>VALUE('ريم حسن فارس'!H7)</f>
        <v>0</v>
      </c>
      <c r="I25" s="20">
        <f>VALUE('ريم حسن فارس'!I7)</f>
        <v>0</v>
      </c>
      <c r="J25" s="20">
        <f>VALUE('ريم حسن فارس'!J7)</f>
        <v>0</v>
      </c>
      <c r="K25" s="20">
        <f>VALUE('ريم حسن فارس'!K7)</f>
        <v>0</v>
      </c>
      <c r="L25" s="20">
        <f>VALUE('ريم حسن فارس'!L7)</f>
        <v>0</v>
      </c>
      <c r="M25" s="20">
        <f>VALUE('ريم حسن فارس'!M7)</f>
        <v>0</v>
      </c>
      <c r="N25" s="20">
        <f>VALUE('ريم حسن فارس'!N7)</f>
        <v>0</v>
      </c>
      <c r="O25" s="20">
        <f>VALUE('ريم حسن فارس'!O7)</f>
        <v>0</v>
      </c>
      <c r="P25" s="20">
        <f>VALUE('ريم حسن فارس'!P7)</f>
        <v>0</v>
      </c>
      <c r="Q25" s="20">
        <f>VALUE('ريم حسن فارس'!Q7)</f>
        <v>0</v>
      </c>
      <c r="R25" s="20">
        <f>VALUE('ريم حسن فارس'!R7)</f>
        <v>0</v>
      </c>
      <c r="S25" s="20">
        <f>VALUE('ريم حسن فارس'!S7)</f>
        <v>0</v>
      </c>
      <c r="T25" s="20">
        <f>VALUE('ريم حسن فارس'!T7)</f>
        <v>0</v>
      </c>
      <c r="U25" s="20">
        <f>VALUE('ريم حسن فارس'!U7)</f>
        <v>0</v>
      </c>
      <c r="V25" s="20">
        <f>VALUE('ريم حسن فارس'!V7)</f>
        <v>0</v>
      </c>
      <c r="W25" s="20">
        <f>VALUE('ريم حسن فارس'!W7)</f>
        <v>0</v>
      </c>
      <c r="X25" s="20">
        <f>VALUE('ريم حسن فارس'!X7)</f>
        <v>0</v>
      </c>
      <c r="Y25" s="20">
        <f>VALUE('ريم حسن فارس'!Y7)</f>
        <v>0</v>
      </c>
      <c r="Z25" s="20">
        <f>SUM('ريم حسن فارس'!Z7:AB7)</f>
        <v>0</v>
      </c>
      <c r="AA25" s="20">
        <f>VALUE('ريم حسن فارس'!AC7)</f>
        <v>0</v>
      </c>
      <c r="AB25" s="13">
        <f t="shared" ref="AB25:AB26" si="24">SUM(C25:AA25)</f>
        <v>0</v>
      </c>
      <c r="AC25" s="13">
        <f t="shared" ref="AC25:AC26" si="25">SUM(J25:U25)</f>
        <v>0</v>
      </c>
      <c r="AD25" s="71"/>
      <c r="AE25" s="64"/>
    </row>
    <row r="26" spans="1:31" ht="15" customHeight="1" thickBot="1">
      <c r="A26" s="69"/>
      <c r="B26" s="16" t="s">
        <v>43</v>
      </c>
      <c r="C26" s="16">
        <f>VALUE('ريم حسن فارس'!C8)</f>
        <v>0</v>
      </c>
      <c r="D26" s="16">
        <f>VALUE('ريم حسن فارس'!D8)</f>
        <v>0</v>
      </c>
      <c r="E26" s="16">
        <f>VALUE('ريم حسن فارس'!E8)</f>
        <v>0</v>
      </c>
      <c r="F26" s="16">
        <f>VALUE('ريم حسن فارس'!F8)</f>
        <v>0</v>
      </c>
      <c r="G26" s="16">
        <f>VALUE('ريم حسن فارس'!G8)</f>
        <v>0</v>
      </c>
      <c r="H26" s="16">
        <f>VALUE('ريم حسن فارس'!H8)</f>
        <v>0</v>
      </c>
      <c r="I26" s="16">
        <f>VALUE('ريم حسن فارس'!I8)</f>
        <v>0</v>
      </c>
      <c r="J26" s="16">
        <f>VALUE('ريم حسن فارس'!J8)</f>
        <v>0</v>
      </c>
      <c r="K26" s="16">
        <f>VALUE('ريم حسن فارس'!K8)</f>
        <v>0</v>
      </c>
      <c r="L26" s="16">
        <f>VALUE('ريم حسن فارس'!L8)</f>
        <v>0</v>
      </c>
      <c r="M26" s="16">
        <f>VALUE('ريم حسن فارس'!M8)</f>
        <v>0</v>
      </c>
      <c r="N26" s="16">
        <f>VALUE('ريم حسن فارس'!N8)</f>
        <v>0</v>
      </c>
      <c r="O26" s="16">
        <f>VALUE('ريم حسن فارس'!O8)</f>
        <v>0</v>
      </c>
      <c r="P26" s="16">
        <f>VALUE('ريم حسن فارس'!P8)</f>
        <v>0</v>
      </c>
      <c r="Q26" s="16">
        <f>VALUE('ريم حسن فارس'!Q8)</f>
        <v>0</v>
      </c>
      <c r="R26" s="16">
        <f>VALUE('ريم حسن فارس'!R8)</f>
        <v>0</v>
      </c>
      <c r="S26" s="16">
        <f>VALUE('ريم حسن فارس'!S8)</f>
        <v>0</v>
      </c>
      <c r="T26" s="16">
        <f>VALUE('ريم حسن فارس'!T8)</f>
        <v>0</v>
      </c>
      <c r="U26" s="16">
        <f>VALUE('ريم حسن فارس'!U8)</f>
        <v>0</v>
      </c>
      <c r="V26" s="16">
        <f>VALUE('ريم حسن فارس'!V8)</f>
        <v>0</v>
      </c>
      <c r="W26" s="16">
        <f>VALUE('ريم حسن فارس'!W8)</f>
        <v>0</v>
      </c>
      <c r="X26" s="16">
        <f>VALUE('ريم حسن فارس'!X8)</f>
        <v>0</v>
      </c>
      <c r="Y26" s="16">
        <f>VALUE('ريم حسن فارس'!Y8)</f>
        <v>0</v>
      </c>
      <c r="Z26" s="16">
        <f>SUM('ريم حسن فارس'!Z8:AB8)</f>
        <v>0</v>
      </c>
      <c r="AA26" s="16">
        <f>VALUE('ريم حسن فارس'!AC8)</f>
        <v>0</v>
      </c>
      <c r="AB26" s="16">
        <f t="shared" si="24"/>
        <v>0</v>
      </c>
      <c r="AC26" s="16">
        <f t="shared" si="25"/>
        <v>0</v>
      </c>
      <c r="AD26" s="71"/>
      <c r="AE26" s="64"/>
    </row>
    <row r="27" spans="1:31" ht="15" customHeight="1" thickBot="1">
      <c r="A27" s="69" t="s">
        <v>71</v>
      </c>
      <c r="B27" s="19" t="s">
        <v>41</v>
      </c>
      <c r="C27" s="19">
        <f>VALUE('ساندرا اشرف موريس'!C6)</f>
        <v>0</v>
      </c>
      <c r="D27" s="19">
        <f>VALUE('ساندرا اشرف موريس'!D6)</f>
        <v>5</v>
      </c>
      <c r="E27" s="19">
        <f>VALUE('ساندرا اشرف موريس'!E6)</f>
        <v>3</v>
      </c>
      <c r="F27" s="19">
        <f>VALUE('ساندرا اشرف موريس'!F6)</f>
        <v>0</v>
      </c>
      <c r="G27" s="19">
        <f>VALUE('ساندرا اشرف موريس'!G6)</f>
        <v>0</v>
      </c>
      <c r="H27" s="19">
        <f>VALUE('ساندرا اشرف موريس'!H6)</f>
        <v>0</v>
      </c>
      <c r="I27" s="19">
        <f>VALUE('ساندرا اشرف موريس'!I6)</f>
        <v>0</v>
      </c>
      <c r="J27" s="19">
        <f>VALUE('ساندرا اشرف موريس'!J6)</f>
        <v>0</v>
      </c>
      <c r="K27" s="19">
        <f>VALUE('ساندرا اشرف موريس'!K6)</f>
        <v>0</v>
      </c>
      <c r="L27" s="19">
        <f>VALUE('ساندرا اشرف موريس'!L6)</f>
        <v>0</v>
      </c>
      <c r="M27" s="19">
        <f>VALUE('ساندرا اشرف موريس'!M6)</f>
        <v>0</v>
      </c>
      <c r="N27" s="19">
        <f>VALUE('ساندرا اشرف موريس'!N6)</f>
        <v>0</v>
      </c>
      <c r="O27" s="19">
        <f>VALUE('ساندرا اشرف موريس'!O6)</f>
        <v>0</v>
      </c>
      <c r="P27" s="19">
        <f>VALUE('ساندرا اشرف موريس'!P6)</f>
        <v>0</v>
      </c>
      <c r="Q27" s="19">
        <f>VALUE('ساندرا اشرف موريس'!Q6)</f>
        <v>0</v>
      </c>
      <c r="R27" s="19">
        <f>VALUE('ساندرا اشرف موريس'!R6)</f>
        <v>0</v>
      </c>
      <c r="S27" s="19">
        <f>VALUE('ساندرا اشرف موريس'!S6)</f>
        <v>0</v>
      </c>
      <c r="T27" s="19">
        <f>VALUE('ساندرا اشرف موريس'!T6)</f>
        <v>0</v>
      </c>
      <c r="U27" s="19">
        <f>VALUE('ساندرا اشرف موريس'!U6)</f>
        <v>0</v>
      </c>
      <c r="V27" s="19">
        <f>VALUE('ساندرا اشرف موريس'!V6)</f>
        <v>13</v>
      </c>
      <c r="W27" s="19">
        <f>VALUE('ساندرا اشرف موريس'!W6)</f>
        <v>0</v>
      </c>
      <c r="X27" s="19">
        <f>VALUE('ساندرا اشرف موريس'!X6)</f>
        <v>3</v>
      </c>
      <c r="Y27" s="19">
        <f>VALUE('ساندرا اشرف موريس'!Y6)</f>
        <v>0</v>
      </c>
      <c r="Z27" s="19">
        <f>SUM('ساندرا اشرف موريس'!Z6:AB6)</f>
        <v>0</v>
      </c>
      <c r="AA27" s="19">
        <f>VALUE('ساندرا اشرف موريس'!AC6)</f>
        <v>0</v>
      </c>
      <c r="AB27" s="19">
        <f>SUM(C27:AA27)</f>
        <v>24</v>
      </c>
      <c r="AC27" s="19">
        <f>SUM(J27:U27)</f>
        <v>0</v>
      </c>
      <c r="AD27" s="71">
        <f t="shared" ref="AD27" si="26">SUM(AC27:AC29)</f>
        <v>0</v>
      </c>
      <c r="AE27" s="64">
        <f t="shared" ref="AE27" si="27">SUM(C27:U29)+W27+W28+W29</f>
        <v>9</v>
      </c>
    </row>
    <row r="28" spans="1:31" ht="15" customHeight="1" thickBot="1">
      <c r="A28" s="69"/>
      <c r="B28" s="13" t="s">
        <v>42</v>
      </c>
      <c r="C28" s="20">
        <f>VALUE('ساندرا اشرف موريس'!C7)</f>
        <v>1</v>
      </c>
      <c r="D28" s="20">
        <f>VALUE('ساندرا اشرف موريس'!D7)</f>
        <v>0</v>
      </c>
      <c r="E28" s="20">
        <f>VALUE('ساندرا اشرف موريس'!E7)</f>
        <v>0</v>
      </c>
      <c r="F28" s="20">
        <f>VALUE('ساندرا اشرف موريس'!F7)</f>
        <v>0</v>
      </c>
      <c r="G28" s="20">
        <f>VALUE('ساندرا اشرف موريس'!G7)</f>
        <v>0</v>
      </c>
      <c r="H28" s="20">
        <f>VALUE('ساندرا اشرف موريس'!H7)</f>
        <v>0</v>
      </c>
      <c r="I28" s="20">
        <f>VALUE('ساندرا اشرف موريس'!I7)</f>
        <v>0</v>
      </c>
      <c r="J28" s="20">
        <f>VALUE('ساندرا اشرف موريس'!J7)</f>
        <v>0</v>
      </c>
      <c r="K28" s="20">
        <f>VALUE('ساندرا اشرف موريس'!K7)</f>
        <v>0</v>
      </c>
      <c r="L28" s="20">
        <f>VALUE('ساندرا اشرف موريس'!L7)</f>
        <v>0</v>
      </c>
      <c r="M28" s="20">
        <f>VALUE('ساندرا اشرف موريس'!M7)</f>
        <v>0</v>
      </c>
      <c r="N28" s="20">
        <f>VALUE('ساندرا اشرف موريس'!N7)</f>
        <v>0</v>
      </c>
      <c r="O28" s="20">
        <f>VALUE('ساندرا اشرف موريس'!O7)</f>
        <v>0</v>
      </c>
      <c r="P28" s="20">
        <f>VALUE('ساندرا اشرف موريس'!P7)</f>
        <v>0</v>
      </c>
      <c r="Q28" s="20">
        <f>VALUE('ساندرا اشرف موريس'!Q7)</f>
        <v>0</v>
      </c>
      <c r="R28" s="20">
        <f>VALUE('ساندرا اشرف موريس'!R7)</f>
        <v>0</v>
      </c>
      <c r="S28" s="20">
        <f>VALUE('ساندرا اشرف موريس'!S7)</f>
        <v>0</v>
      </c>
      <c r="T28" s="20">
        <f>VALUE('ساندرا اشرف موريس'!T7)</f>
        <v>0</v>
      </c>
      <c r="U28" s="20">
        <f>VALUE('ساندرا اشرف موريس'!U7)</f>
        <v>0</v>
      </c>
      <c r="V28" s="20">
        <f>VALUE('ساندرا اشرف موريس'!V7)</f>
        <v>0</v>
      </c>
      <c r="W28" s="20">
        <f>VALUE('ساندرا اشرف موريس'!W7)</f>
        <v>0</v>
      </c>
      <c r="X28" s="20">
        <f>VALUE('ساندرا اشرف موريس'!X7)</f>
        <v>1</v>
      </c>
      <c r="Y28" s="20">
        <f>VALUE('ساندرا اشرف موريس'!Y7)</f>
        <v>0</v>
      </c>
      <c r="Z28" s="20">
        <f>SUM('ساندرا اشرف موريس'!Z7:AB7)</f>
        <v>0</v>
      </c>
      <c r="AA28" s="20">
        <f>VALUE('ساندرا اشرف موريس'!AC7)</f>
        <v>0</v>
      </c>
      <c r="AB28" s="13">
        <f t="shared" ref="AB28:AB29" si="28">SUM(C28:AA28)</f>
        <v>2</v>
      </c>
      <c r="AC28" s="13">
        <f t="shared" ref="AC28:AC29" si="29">SUM(J28:U28)</f>
        <v>0</v>
      </c>
      <c r="AD28" s="71"/>
      <c r="AE28" s="64"/>
    </row>
    <row r="29" spans="1:31" ht="15" customHeight="1" thickBot="1">
      <c r="A29" s="69"/>
      <c r="B29" s="16" t="s">
        <v>43</v>
      </c>
      <c r="C29" s="16">
        <f>VALUE('ساندرا اشرف موريس'!C8)</f>
        <v>0</v>
      </c>
      <c r="D29" s="16">
        <f>VALUE('ساندرا اشرف موريس'!D8)</f>
        <v>0</v>
      </c>
      <c r="E29" s="16">
        <f>VALUE('ساندرا اشرف موريس'!E8)</f>
        <v>0</v>
      </c>
      <c r="F29" s="16">
        <f>VALUE('ساندرا اشرف موريس'!F8)</f>
        <v>0</v>
      </c>
      <c r="G29" s="16">
        <f>VALUE('ساندرا اشرف موريس'!G8)</f>
        <v>0</v>
      </c>
      <c r="H29" s="16">
        <f>VALUE('ساندرا اشرف موريس'!H8)</f>
        <v>0</v>
      </c>
      <c r="I29" s="16">
        <f>VALUE('ساندرا اشرف موريس'!I8)</f>
        <v>0</v>
      </c>
      <c r="J29" s="16">
        <f>VALUE('ساندرا اشرف موريس'!J8)</f>
        <v>0</v>
      </c>
      <c r="K29" s="16">
        <f>VALUE('ساندرا اشرف موريس'!K8)</f>
        <v>0</v>
      </c>
      <c r="L29" s="16">
        <f>VALUE('ساندرا اشرف موريس'!L8)</f>
        <v>0</v>
      </c>
      <c r="M29" s="16">
        <f>VALUE('ساندرا اشرف موريس'!M8)</f>
        <v>0</v>
      </c>
      <c r="N29" s="16">
        <f>VALUE('ساندرا اشرف موريس'!N8)</f>
        <v>0</v>
      </c>
      <c r="O29" s="16">
        <f>VALUE('ساندرا اشرف موريس'!O8)</f>
        <v>0</v>
      </c>
      <c r="P29" s="16">
        <f>VALUE('ساندرا اشرف موريس'!P8)</f>
        <v>0</v>
      </c>
      <c r="Q29" s="16">
        <f>VALUE('ساندرا اشرف موريس'!Q8)</f>
        <v>0</v>
      </c>
      <c r="R29" s="16">
        <f>VALUE('ساندرا اشرف موريس'!R8)</f>
        <v>0</v>
      </c>
      <c r="S29" s="16">
        <f>VALUE('ساندرا اشرف موريس'!S8)</f>
        <v>0</v>
      </c>
      <c r="T29" s="16">
        <f>VALUE('ساندرا اشرف موريس'!T8)</f>
        <v>0</v>
      </c>
      <c r="U29" s="16">
        <f>VALUE('ساندرا اشرف موريس'!U8)</f>
        <v>0</v>
      </c>
      <c r="V29" s="16">
        <f>VALUE('ساندرا اشرف موريس'!V8)</f>
        <v>0</v>
      </c>
      <c r="W29" s="16">
        <f>VALUE('ساندرا اشرف موريس'!W8)</f>
        <v>0</v>
      </c>
      <c r="X29" s="16">
        <f>VALUE('ساندرا اشرف موريس'!X8)</f>
        <v>0</v>
      </c>
      <c r="Y29" s="16">
        <f>VALUE('ساندرا اشرف موريس'!Y8)</f>
        <v>0</v>
      </c>
      <c r="Z29" s="16">
        <f>SUM('ساندرا اشرف موريس'!Z8:AB8)</f>
        <v>1</v>
      </c>
      <c r="AA29" s="16">
        <f>VALUE('ساندرا اشرف موريس'!AC8)</f>
        <v>0</v>
      </c>
      <c r="AB29" s="16">
        <f t="shared" si="28"/>
        <v>1</v>
      </c>
      <c r="AC29" s="16">
        <f t="shared" si="29"/>
        <v>0</v>
      </c>
      <c r="AD29" s="71"/>
      <c r="AE29" s="64"/>
    </row>
    <row r="30" spans="1:31" ht="15" customHeight="1" thickBot="1">
      <c r="A30" s="69" t="s">
        <v>72</v>
      </c>
      <c r="B30" s="19" t="s">
        <v>41</v>
      </c>
      <c r="C30" s="19">
        <f>VALUE('دينا عوني محمد'!C6)</f>
        <v>0</v>
      </c>
      <c r="D30" s="19">
        <f>VALUE('دينا عوني محمد'!D6)</f>
        <v>9</v>
      </c>
      <c r="E30" s="19">
        <f>VALUE('دينا عوني محمد'!E6)</f>
        <v>0</v>
      </c>
      <c r="F30" s="19">
        <f>VALUE('دينا عوني محمد'!F6)</f>
        <v>0</v>
      </c>
      <c r="G30" s="19">
        <f>VALUE('دينا عوني محمد'!G6)</f>
        <v>0</v>
      </c>
      <c r="H30" s="19">
        <f>VALUE('دينا عوني محمد'!H6)</f>
        <v>0</v>
      </c>
      <c r="I30" s="19">
        <f>VALUE('دينا عوني محمد'!I6)</f>
        <v>0</v>
      </c>
      <c r="J30" s="19">
        <f>VALUE('دينا عوني محمد'!J6)</f>
        <v>0</v>
      </c>
      <c r="K30" s="19">
        <f>VALUE('دينا عوني محمد'!K6)</f>
        <v>0</v>
      </c>
      <c r="L30" s="19">
        <f>VALUE('دينا عوني محمد'!L6)</f>
        <v>0</v>
      </c>
      <c r="M30" s="19">
        <f>VALUE('دينا عوني محمد'!M6)</f>
        <v>0</v>
      </c>
      <c r="N30" s="19">
        <f>VALUE('دينا عوني محمد'!N6)</f>
        <v>0</v>
      </c>
      <c r="O30" s="19">
        <f>VALUE('دينا عوني محمد'!O6)</f>
        <v>0</v>
      </c>
      <c r="P30" s="19">
        <f>VALUE('دينا عوني محمد'!P6)</f>
        <v>0</v>
      </c>
      <c r="Q30" s="19">
        <f>VALUE('دينا عوني محمد'!Q6)</f>
        <v>4</v>
      </c>
      <c r="R30" s="19">
        <f>VALUE('دينا عوني محمد'!R6)</f>
        <v>0</v>
      </c>
      <c r="S30" s="19">
        <f>VALUE('دينا عوني محمد'!S6)</f>
        <v>1</v>
      </c>
      <c r="T30" s="19">
        <f>VALUE('دينا عوني محمد'!T6)</f>
        <v>1</v>
      </c>
      <c r="U30" s="19">
        <f>VALUE('دينا عوني محمد'!U6)</f>
        <v>0</v>
      </c>
      <c r="V30" s="19">
        <f>VALUE('دينا عوني محمد'!V6)</f>
        <v>12</v>
      </c>
      <c r="W30" s="19">
        <f>VALUE('دينا عوني محمد'!W6)</f>
        <v>1</v>
      </c>
      <c r="X30" s="19">
        <f>VALUE('دينا عوني محمد'!X6)</f>
        <v>3</v>
      </c>
      <c r="Y30" s="19">
        <f>VALUE('دينا عوني محمد'!Y6)</f>
        <v>0</v>
      </c>
      <c r="Z30" s="19">
        <f>SUM('دينا عوني محمد'!Z6:AB6)</f>
        <v>0</v>
      </c>
      <c r="AA30" s="19">
        <f>VALUE('دينا عوني محمد'!AC6)</f>
        <v>0</v>
      </c>
      <c r="AB30" s="19">
        <f>SUM(C30:AA30)</f>
        <v>31</v>
      </c>
      <c r="AC30" s="19">
        <f>SUM(J30:U30)</f>
        <v>6</v>
      </c>
      <c r="AD30" s="71">
        <f t="shared" ref="AD30" si="30">SUM(AC30:AC32)</f>
        <v>7</v>
      </c>
      <c r="AE30" s="64">
        <f t="shared" ref="AE30" si="31">SUM(C30:U32)+W30+W31+W32</f>
        <v>17</v>
      </c>
    </row>
    <row r="31" spans="1:31" ht="15" customHeight="1" thickBot="1">
      <c r="A31" s="69"/>
      <c r="B31" s="13" t="s">
        <v>42</v>
      </c>
      <c r="C31" s="20">
        <f>VALUE('دينا عوني محمد'!C7)</f>
        <v>0</v>
      </c>
      <c r="D31" s="20">
        <f>VALUE('دينا عوني محمد'!D7)</f>
        <v>0</v>
      </c>
      <c r="E31" s="20">
        <f>VALUE('دينا عوني محمد'!E7)</f>
        <v>0</v>
      </c>
      <c r="F31" s="20">
        <f>VALUE('دينا عوني محمد'!F7)</f>
        <v>0</v>
      </c>
      <c r="G31" s="20">
        <f>VALUE('دينا عوني محمد'!G7)</f>
        <v>0</v>
      </c>
      <c r="H31" s="20">
        <f>VALUE('دينا عوني محمد'!H7)</f>
        <v>0</v>
      </c>
      <c r="I31" s="20">
        <f>VALUE('دينا عوني محمد'!I7)</f>
        <v>0</v>
      </c>
      <c r="J31" s="20">
        <f>VALUE('دينا عوني محمد'!J7)</f>
        <v>0</v>
      </c>
      <c r="K31" s="20">
        <f>VALUE('دينا عوني محمد'!K7)</f>
        <v>0</v>
      </c>
      <c r="L31" s="20">
        <f>VALUE('دينا عوني محمد'!L7)</f>
        <v>0</v>
      </c>
      <c r="M31" s="20">
        <f>VALUE('دينا عوني محمد'!M7)</f>
        <v>0</v>
      </c>
      <c r="N31" s="20">
        <f>VALUE('دينا عوني محمد'!N7)</f>
        <v>0</v>
      </c>
      <c r="O31" s="20">
        <f>VALUE('دينا عوني محمد'!O7)</f>
        <v>0</v>
      </c>
      <c r="P31" s="20">
        <f>VALUE('دينا عوني محمد'!P7)</f>
        <v>0</v>
      </c>
      <c r="Q31" s="20">
        <f>VALUE('دينا عوني محمد'!Q7)</f>
        <v>0</v>
      </c>
      <c r="R31" s="20">
        <f>VALUE('دينا عوني محمد'!R7)</f>
        <v>0</v>
      </c>
      <c r="S31" s="20">
        <f>VALUE('دينا عوني محمد'!S7)</f>
        <v>1</v>
      </c>
      <c r="T31" s="20">
        <f>VALUE('دينا عوني محمد'!T7)</f>
        <v>0</v>
      </c>
      <c r="U31" s="20">
        <f>VALUE('دينا عوني محمد'!U7)</f>
        <v>0</v>
      </c>
      <c r="V31" s="20">
        <f>VALUE('دينا عوني محمد'!V7)</f>
        <v>0</v>
      </c>
      <c r="W31" s="20">
        <f>VALUE('دينا عوني محمد'!W7)</f>
        <v>0</v>
      </c>
      <c r="X31" s="20">
        <f>VALUE('دينا عوني محمد'!X7)</f>
        <v>0</v>
      </c>
      <c r="Y31" s="20">
        <f>VALUE('دينا عوني محمد'!Y7)</f>
        <v>0</v>
      </c>
      <c r="Z31" s="20">
        <f>SUM('دينا عوني محمد'!Z7:AB7)</f>
        <v>0</v>
      </c>
      <c r="AA31" s="20">
        <f>VALUE('دينا عوني محمد'!AC7)</f>
        <v>0</v>
      </c>
      <c r="AB31" s="13">
        <f t="shared" ref="AB31:AB32" si="32">SUM(C31:AA31)</f>
        <v>1</v>
      </c>
      <c r="AC31" s="13">
        <f t="shared" ref="AC31:AC32" si="33">SUM(J31:U31)</f>
        <v>1</v>
      </c>
      <c r="AD31" s="71"/>
      <c r="AE31" s="64"/>
    </row>
    <row r="32" spans="1:31" ht="15" customHeight="1" thickBot="1">
      <c r="A32" s="69"/>
      <c r="B32" s="16" t="s">
        <v>43</v>
      </c>
      <c r="C32" s="16">
        <f>VALUE('دينا عوني محمد'!C8)</f>
        <v>0</v>
      </c>
      <c r="D32" s="16">
        <f>VALUE('دينا عوني محمد'!D8)</f>
        <v>0</v>
      </c>
      <c r="E32" s="16">
        <f>VALUE('دينا عوني محمد'!E8)</f>
        <v>0</v>
      </c>
      <c r="F32" s="16">
        <f>VALUE('دينا عوني محمد'!F8)</f>
        <v>0</v>
      </c>
      <c r="G32" s="16">
        <f>VALUE('دينا عوني محمد'!G8)</f>
        <v>0</v>
      </c>
      <c r="H32" s="16">
        <f>VALUE('دينا عوني محمد'!H8)</f>
        <v>0</v>
      </c>
      <c r="I32" s="16">
        <f>VALUE('دينا عوني محمد'!I8)</f>
        <v>0</v>
      </c>
      <c r="J32" s="16">
        <f>VALUE('دينا عوني محمد'!J8)</f>
        <v>0</v>
      </c>
      <c r="K32" s="16">
        <f>VALUE('دينا عوني محمد'!K8)</f>
        <v>0</v>
      </c>
      <c r="L32" s="16">
        <f>VALUE('دينا عوني محمد'!L8)</f>
        <v>0</v>
      </c>
      <c r="M32" s="16">
        <f>VALUE('دينا عوني محمد'!M8)</f>
        <v>0</v>
      </c>
      <c r="N32" s="16">
        <f>VALUE('دينا عوني محمد'!N8)</f>
        <v>0</v>
      </c>
      <c r="O32" s="16">
        <f>VALUE('دينا عوني محمد'!O8)</f>
        <v>0</v>
      </c>
      <c r="P32" s="16">
        <f>VALUE('دينا عوني محمد'!P8)</f>
        <v>0</v>
      </c>
      <c r="Q32" s="16">
        <f>VALUE('دينا عوني محمد'!Q8)</f>
        <v>0</v>
      </c>
      <c r="R32" s="16">
        <f>VALUE('دينا عوني محمد'!R8)</f>
        <v>0</v>
      </c>
      <c r="S32" s="16">
        <f>VALUE('دينا عوني محمد'!S8)</f>
        <v>0</v>
      </c>
      <c r="T32" s="16">
        <f>VALUE('دينا عوني محمد'!T8)</f>
        <v>0</v>
      </c>
      <c r="U32" s="16">
        <f>VALUE('دينا عوني محمد'!U8)</f>
        <v>0</v>
      </c>
      <c r="V32" s="16">
        <f>VALUE('دينا عوني محمد'!V8)</f>
        <v>0</v>
      </c>
      <c r="W32" s="16">
        <f>VALUE('دينا عوني محمد'!W8)</f>
        <v>0</v>
      </c>
      <c r="X32" s="16">
        <f>VALUE('دينا عوني محمد'!X8)</f>
        <v>0</v>
      </c>
      <c r="Y32" s="16">
        <f>VALUE('دينا عوني محمد'!Y8)</f>
        <v>0</v>
      </c>
      <c r="Z32" s="16">
        <f>SUM('دينا عوني محمد'!Z8:AB8)</f>
        <v>1</v>
      </c>
      <c r="AA32" s="16">
        <f>VALUE('دينا عوني محمد'!AC8)</f>
        <v>0</v>
      </c>
      <c r="AB32" s="16">
        <f t="shared" si="32"/>
        <v>1</v>
      </c>
      <c r="AC32" s="16">
        <f t="shared" si="33"/>
        <v>0</v>
      </c>
      <c r="AD32" s="71"/>
      <c r="AE32" s="64"/>
    </row>
    <row r="33" spans="1:31" ht="15" customHeight="1" thickBot="1">
      <c r="A33" s="69" t="s">
        <v>73</v>
      </c>
      <c r="B33" s="19" t="s">
        <v>41</v>
      </c>
      <c r="C33" s="19">
        <f>VALUE('محمد اشرف الحسيني'!C6)</f>
        <v>0</v>
      </c>
      <c r="D33" s="19">
        <f>VALUE('محمد اشرف الحسيني'!D6)</f>
        <v>7</v>
      </c>
      <c r="E33" s="19">
        <f>VALUE('محمد اشرف الحسيني'!E6)</f>
        <v>0</v>
      </c>
      <c r="F33" s="19">
        <f>VALUE('محمد اشرف الحسيني'!F6)</f>
        <v>0</v>
      </c>
      <c r="G33" s="19">
        <f>VALUE('محمد اشرف الحسيني'!G6)</f>
        <v>0</v>
      </c>
      <c r="H33" s="19">
        <f>VALUE('محمد اشرف الحسيني'!H6)</f>
        <v>0</v>
      </c>
      <c r="I33" s="19">
        <f>VALUE('محمد اشرف الحسيني'!I6)</f>
        <v>0</v>
      </c>
      <c r="J33" s="19">
        <f>VALUE('محمد اشرف الحسيني'!J6)</f>
        <v>0</v>
      </c>
      <c r="K33" s="19">
        <f>VALUE('محمد اشرف الحسيني'!K6)</f>
        <v>0</v>
      </c>
      <c r="L33" s="19">
        <f>VALUE('محمد اشرف الحسيني'!L6)</f>
        <v>0</v>
      </c>
      <c r="M33" s="19">
        <f>VALUE('محمد اشرف الحسيني'!M6)</f>
        <v>0</v>
      </c>
      <c r="N33" s="19">
        <f>VALUE('محمد اشرف الحسيني'!N6)</f>
        <v>0</v>
      </c>
      <c r="O33" s="19">
        <f>VALUE('محمد اشرف الحسيني'!O6)</f>
        <v>0</v>
      </c>
      <c r="P33" s="19">
        <f>VALUE('محمد اشرف الحسيني'!P6)</f>
        <v>0</v>
      </c>
      <c r="Q33" s="19">
        <f>VALUE('محمد اشرف الحسيني'!Q6)</f>
        <v>0</v>
      </c>
      <c r="R33" s="19">
        <f>VALUE('محمد اشرف الحسيني'!R6)</f>
        <v>0</v>
      </c>
      <c r="S33" s="19">
        <f>VALUE('محمد اشرف الحسيني'!S6)</f>
        <v>0</v>
      </c>
      <c r="T33" s="19">
        <f>VALUE('محمد اشرف الحسيني'!T6)</f>
        <v>0</v>
      </c>
      <c r="U33" s="19">
        <f>VALUE('محمد اشرف الحسيني'!U6)</f>
        <v>0</v>
      </c>
      <c r="V33" s="19">
        <f>VALUE('محمد اشرف الحسيني'!V6)</f>
        <v>19</v>
      </c>
      <c r="W33" s="19">
        <f>VALUE('محمد اشرف الحسيني'!W6)</f>
        <v>0</v>
      </c>
      <c r="X33" s="19">
        <f>VALUE('محمد اشرف الحسيني'!X6)</f>
        <v>5</v>
      </c>
      <c r="Y33" s="19">
        <f>VALUE('محمد اشرف الحسيني'!Y6)</f>
        <v>0</v>
      </c>
      <c r="Z33" s="19">
        <f>SUM('محمد اشرف الحسيني'!Z6:AB6)</f>
        <v>0</v>
      </c>
      <c r="AA33" s="19">
        <f>VALUE('محمد اشرف الحسيني'!AC6)</f>
        <v>0</v>
      </c>
      <c r="AB33" s="19">
        <f>SUM(C33:AA33)</f>
        <v>31</v>
      </c>
      <c r="AC33" s="19">
        <f>SUM(J33:U33)</f>
        <v>0</v>
      </c>
      <c r="AD33" s="71">
        <f t="shared" ref="AD33" si="34">SUM(AC33:AC35)</f>
        <v>0</v>
      </c>
      <c r="AE33" s="64">
        <f t="shared" ref="AE33" si="35">SUM(C33:U35)+W33+W34+W35</f>
        <v>7</v>
      </c>
    </row>
    <row r="34" spans="1:31" ht="15" customHeight="1" thickBot="1">
      <c r="A34" s="69"/>
      <c r="B34" s="13" t="s">
        <v>42</v>
      </c>
      <c r="C34" s="20">
        <f>VALUE('محمد اشرف الحسيني'!C7)</f>
        <v>0</v>
      </c>
      <c r="D34" s="20">
        <f>VALUE('محمد اشرف الحسيني'!D7)</f>
        <v>0</v>
      </c>
      <c r="E34" s="20">
        <f>VALUE('محمد اشرف الحسيني'!E7)</f>
        <v>0</v>
      </c>
      <c r="F34" s="20">
        <f>VALUE('محمد اشرف الحسيني'!F7)</f>
        <v>0</v>
      </c>
      <c r="G34" s="20">
        <f>VALUE('محمد اشرف الحسيني'!G7)</f>
        <v>0</v>
      </c>
      <c r="H34" s="20">
        <f>VALUE('محمد اشرف الحسيني'!H7)</f>
        <v>0</v>
      </c>
      <c r="I34" s="20">
        <f>VALUE('محمد اشرف الحسيني'!I7)</f>
        <v>0</v>
      </c>
      <c r="J34" s="20">
        <f>VALUE('محمد اشرف الحسيني'!J7)</f>
        <v>0</v>
      </c>
      <c r="K34" s="20">
        <f>VALUE('محمد اشرف الحسيني'!K7)</f>
        <v>0</v>
      </c>
      <c r="L34" s="20">
        <f>VALUE('محمد اشرف الحسيني'!L7)</f>
        <v>0</v>
      </c>
      <c r="M34" s="20">
        <f>VALUE('محمد اشرف الحسيني'!M7)</f>
        <v>0</v>
      </c>
      <c r="N34" s="20">
        <f>VALUE('محمد اشرف الحسيني'!N7)</f>
        <v>0</v>
      </c>
      <c r="O34" s="20">
        <f>VALUE('محمد اشرف الحسيني'!O7)</f>
        <v>0</v>
      </c>
      <c r="P34" s="20">
        <f>VALUE('محمد اشرف الحسيني'!P7)</f>
        <v>0</v>
      </c>
      <c r="Q34" s="20">
        <f>VALUE('محمد اشرف الحسيني'!Q7)</f>
        <v>0</v>
      </c>
      <c r="R34" s="20">
        <f>VALUE('محمد اشرف الحسيني'!R7)</f>
        <v>0</v>
      </c>
      <c r="S34" s="20">
        <f>VALUE('محمد اشرف الحسيني'!S7)</f>
        <v>0</v>
      </c>
      <c r="T34" s="20">
        <f>VALUE('محمد اشرف الحسيني'!T7)</f>
        <v>0</v>
      </c>
      <c r="U34" s="20">
        <f>VALUE('محمد اشرف الحسيني'!U7)</f>
        <v>0</v>
      </c>
      <c r="V34" s="20">
        <f>VALUE('محمد اشرف الحسيني'!V7)</f>
        <v>0</v>
      </c>
      <c r="W34" s="20">
        <f>VALUE('محمد اشرف الحسيني'!W7)</f>
        <v>0</v>
      </c>
      <c r="X34" s="20">
        <f>VALUE('محمد اشرف الحسيني'!X7)</f>
        <v>0</v>
      </c>
      <c r="Y34" s="20">
        <f>VALUE('محمد اشرف الحسيني'!Y7)</f>
        <v>0</v>
      </c>
      <c r="Z34" s="20">
        <f>SUM('محمد اشرف الحسيني'!Z7:AB7)</f>
        <v>0</v>
      </c>
      <c r="AA34" s="20">
        <f>VALUE('محمد اشرف الحسيني'!AC7)</f>
        <v>0</v>
      </c>
      <c r="AB34" s="13">
        <f t="shared" ref="AB34:AB35" si="36">SUM(C34:AA34)</f>
        <v>0</v>
      </c>
      <c r="AC34" s="13">
        <f t="shared" ref="AC34:AC35" si="37">SUM(J34:U34)</f>
        <v>0</v>
      </c>
      <c r="AD34" s="71"/>
      <c r="AE34" s="64"/>
    </row>
    <row r="35" spans="1:31" ht="15" customHeight="1" thickBot="1">
      <c r="A35" s="69"/>
      <c r="B35" s="16" t="s">
        <v>43</v>
      </c>
      <c r="C35" s="16">
        <f>VALUE('محمد اشرف الحسيني'!C8)</f>
        <v>0</v>
      </c>
      <c r="D35" s="16">
        <f>VALUE('محمد اشرف الحسيني'!D8)</f>
        <v>0</v>
      </c>
      <c r="E35" s="16">
        <f>VALUE('محمد اشرف الحسيني'!E8)</f>
        <v>0</v>
      </c>
      <c r="F35" s="16">
        <f>VALUE('محمد اشرف الحسيني'!F8)</f>
        <v>0</v>
      </c>
      <c r="G35" s="16">
        <f>VALUE('محمد اشرف الحسيني'!G8)</f>
        <v>0</v>
      </c>
      <c r="H35" s="16">
        <f>VALUE('محمد اشرف الحسيني'!H8)</f>
        <v>0</v>
      </c>
      <c r="I35" s="16">
        <f>VALUE('محمد اشرف الحسيني'!I8)</f>
        <v>0</v>
      </c>
      <c r="J35" s="16">
        <f>VALUE('محمد اشرف الحسيني'!J8)</f>
        <v>0</v>
      </c>
      <c r="K35" s="16">
        <f>VALUE('محمد اشرف الحسيني'!K8)</f>
        <v>0</v>
      </c>
      <c r="L35" s="16">
        <f>VALUE('محمد اشرف الحسيني'!L8)</f>
        <v>0</v>
      </c>
      <c r="M35" s="16">
        <f>VALUE('محمد اشرف الحسيني'!M8)</f>
        <v>0</v>
      </c>
      <c r="N35" s="16">
        <f>VALUE('محمد اشرف الحسيني'!N8)</f>
        <v>0</v>
      </c>
      <c r="O35" s="16">
        <f>VALUE('محمد اشرف الحسيني'!O8)</f>
        <v>0</v>
      </c>
      <c r="P35" s="16">
        <f>VALUE('محمد اشرف الحسيني'!P8)</f>
        <v>0</v>
      </c>
      <c r="Q35" s="16">
        <f>VALUE('محمد اشرف الحسيني'!Q8)</f>
        <v>0</v>
      </c>
      <c r="R35" s="16">
        <f>VALUE('محمد اشرف الحسيني'!R8)</f>
        <v>0</v>
      </c>
      <c r="S35" s="16">
        <f>VALUE('محمد اشرف الحسيني'!S8)</f>
        <v>0</v>
      </c>
      <c r="T35" s="16">
        <f>VALUE('محمد اشرف الحسيني'!T8)</f>
        <v>0</v>
      </c>
      <c r="U35" s="16">
        <f>VALUE('محمد اشرف الحسيني'!U8)</f>
        <v>0</v>
      </c>
      <c r="V35" s="16">
        <f>VALUE('محمد اشرف الحسيني'!V8)</f>
        <v>0</v>
      </c>
      <c r="W35" s="16">
        <f>VALUE('محمد اشرف الحسيني'!W8)</f>
        <v>0</v>
      </c>
      <c r="X35" s="16">
        <f>VALUE('محمد اشرف الحسيني'!X8)</f>
        <v>0</v>
      </c>
      <c r="Y35" s="16">
        <f>VALUE('محمد اشرف الحسيني'!Y8)</f>
        <v>0</v>
      </c>
      <c r="Z35" s="16">
        <f>SUM('محمد اشرف الحسيني'!Z8:AB8)</f>
        <v>0</v>
      </c>
      <c r="AA35" s="16">
        <f>VALUE('محمد اشرف الحسيني'!AC8)</f>
        <v>0</v>
      </c>
      <c r="AB35" s="16">
        <f t="shared" si="36"/>
        <v>0</v>
      </c>
      <c r="AC35" s="16">
        <f t="shared" si="37"/>
        <v>0</v>
      </c>
      <c r="AD35" s="71"/>
      <c r="AE35" s="64"/>
    </row>
    <row r="36" spans="1:31" ht="15" customHeight="1" thickBot="1">
      <c r="A36" s="69" t="s">
        <v>74</v>
      </c>
      <c r="B36" s="19" t="s">
        <v>41</v>
      </c>
      <c r="C36" s="19">
        <f>VALUE('احمد احمد عباس'!C6)</f>
        <v>0</v>
      </c>
      <c r="D36" s="19">
        <f>VALUE('احمد احمد عباس'!D6)</f>
        <v>0</v>
      </c>
      <c r="E36" s="19">
        <f>VALUE('احمد احمد عباس'!E6)</f>
        <v>0</v>
      </c>
      <c r="F36" s="19">
        <f>VALUE('احمد احمد عباس'!F6)</f>
        <v>0</v>
      </c>
      <c r="G36" s="19">
        <f>VALUE('احمد احمد عباس'!G6)</f>
        <v>0</v>
      </c>
      <c r="H36" s="19">
        <f>VALUE('احمد احمد عباس'!H6)</f>
        <v>0</v>
      </c>
      <c r="I36" s="19">
        <f>VALUE('احمد احمد عباس'!I6)</f>
        <v>0</v>
      </c>
      <c r="J36" s="19">
        <f>VALUE('احمد احمد عباس'!J6)</f>
        <v>0</v>
      </c>
      <c r="K36" s="19">
        <f>VALUE('احمد احمد عباس'!K6)</f>
        <v>0</v>
      </c>
      <c r="L36" s="19">
        <f>VALUE('احمد احمد عباس'!L6)</f>
        <v>0</v>
      </c>
      <c r="M36" s="19">
        <f>VALUE('احمد احمد عباس'!M6)</f>
        <v>0</v>
      </c>
      <c r="N36" s="19">
        <f>VALUE('احمد احمد عباس'!N6)</f>
        <v>0</v>
      </c>
      <c r="O36" s="19">
        <f>VALUE('احمد احمد عباس'!O6)</f>
        <v>0</v>
      </c>
      <c r="P36" s="19">
        <f>VALUE('احمد احمد عباس'!P6)</f>
        <v>0</v>
      </c>
      <c r="Q36" s="19">
        <f>VALUE('احمد احمد عباس'!Q6)</f>
        <v>0</v>
      </c>
      <c r="R36" s="19">
        <f>VALUE('احمد احمد عباس'!R6)</f>
        <v>0</v>
      </c>
      <c r="S36" s="19">
        <f>VALUE('احمد احمد عباس'!S6)</f>
        <v>0</v>
      </c>
      <c r="T36" s="19">
        <f>VALUE('احمد احمد عباس'!T6)</f>
        <v>0</v>
      </c>
      <c r="U36" s="19">
        <f>VALUE('احمد احمد عباس'!U6)</f>
        <v>0</v>
      </c>
      <c r="V36" s="19">
        <f>VALUE('احمد احمد عباس'!V6)</f>
        <v>0</v>
      </c>
      <c r="W36" s="19">
        <f>VALUE('احمد احمد عباس'!W6)</f>
        <v>0</v>
      </c>
      <c r="X36" s="19">
        <f>VALUE('احمد احمد عباس'!X6)</f>
        <v>0</v>
      </c>
      <c r="Y36" s="19">
        <f>VALUE('احمد احمد عباس'!Y6)</f>
        <v>0</v>
      </c>
      <c r="Z36" s="19">
        <f>SUM('احمد احمد عباس'!Z6:AB6)</f>
        <v>0</v>
      </c>
      <c r="AA36" s="19">
        <f>VALUE('احمد احمد عباس'!AC6)</f>
        <v>0</v>
      </c>
      <c r="AB36" s="19">
        <f>SUM(C36:AA36)</f>
        <v>0</v>
      </c>
      <c r="AC36" s="19">
        <f>SUM(J36:U36)</f>
        <v>0</v>
      </c>
      <c r="AD36" s="71">
        <f t="shared" ref="AD36" si="38">SUM(AC36:AC38)</f>
        <v>0</v>
      </c>
      <c r="AE36" s="64">
        <f t="shared" ref="AE36" si="39">SUM(C36:U38)+W36+W37+W38</f>
        <v>0</v>
      </c>
    </row>
    <row r="37" spans="1:31" ht="15" customHeight="1" thickBot="1">
      <c r="A37" s="69"/>
      <c r="B37" s="13" t="s">
        <v>42</v>
      </c>
      <c r="C37" s="20">
        <f>VALUE('احمد احمد عباس'!C7)</f>
        <v>0</v>
      </c>
      <c r="D37" s="20">
        <f>VALUE('احمد احمد عباس'!D7)</f>
        <v>0</v>
      </c>
      <c r="E37" s="20">
        <f>VALUE('احمد احمد عباس'!E7)</f>
        <v>0</v>
      </c>
      <c r="F37" s="20">
        <f>VALUE('احمد احمد عباس'!F7)</f>
        <v>0</v>
      </c>
      <c r="G37" s="20">
        <f>VALUE('احمد احمد عباس'!G7)</f>
        <v>0</v>
      </c>
      <c r="H37" s="20">
        <f>VALUE('احمد احمد عباس'!H7)</f>
        <v>0</v>
      </c>
      <c r="I37" s="20">
        <f>VALUE('احمد احمد عباس'!I7)</f>
        <v>0</v>
      </c>
      <c r="J37" s="20">
        <f>VALUE('احمد احمد عباس'!J7)</f>
        <v>0</v>
      </c>
      <c r="K37" s="20">
        <f>VALUE('احمد احمد عباس'!K7)</f>
        <v>0</v>
      </c>
      <c r="L37" s="20">
        <f>VALUE('احمد احمد عباس'!L7)</f>
        <v>0</v>
      </c>
      <c r="M37" s="20">
        <f>VALUE('احمد احمد عباس'!M7)</f>
        <v>0</v>
      </c>
      <c r="N37" s="20">
        <f>VALUE('احمد احمد عباس'!N7)</f>
        <v>0</v>
      </c>
      <c r="O37" s="20">
        <f>VALUE('احمد احمد عباس'!O7)</f>
        <v>0</v>
      </c>
      <c r="P37" s="20">
        <f>VALUE('احمد احمد عباس'!P7)</f>
        <v>0</v>
      </c>
      <c r="Q37" s="20">
        <f>VALUE('احمد احمد عباس'!Q7)</f>
        <v>0</v>
      </c>
      <c r="R37" s="20">
        <f>VALUE('احمد احمد عباس'!R7)</f>
        <v>0</v>
      </c>
      <c r="S37" s="20">
        <f>VALUE('احمد احمد عباس'!S7)</f>
        <v>0</v>
      </c>
      <c r="T37" s="20">
        <f>VALUE('احمد احمد عباس'!T7)</f>
        <v>0</v>
      </c>
      <c r="U37" s="20">
        <f>VALUE('احمد احمد عباس'!U7)</f>
        <v>0</v>
      </c>
      <c r="V37" s="20">
        <f>VALUE('احمد احمد عباس'!V7)</f>
        <v>0</v>
      </c>
      <c r="W37" s="20">
        <f>VALUE('احمد احمد عباس'!W7)</f>
        <v>0</v>
      </c>
      <c r="X37" s="20">
        <f>VALUE('احمد احمد عباس'!X7)</f>
        <v>0</v>
      </c>
      <c r="Y37" s="20">
        <f>VALUE('احمد احمد عباس'!Y7)</f>
        <v>0</v>
      </c>
      <c r="Z37" s="20">
        <f>SUM('احمد احمد عباس'!Z7:AB7)</f>
        <v>0</v>
      </c>
      <c r="AA37" s="20">
        <f>VALUE('احمد احمد عباس'!AC7)</f>
        <v>0</v>
      </c>
      <c r="AB37" s="13">
        <f t="shared" ref="AB37:AB38" si="40">SUM(C37:AA37)</f>
        <v>0</v>
      </c>
      <c r="AC37" s="13">
        <f t="shared" ref="AC37:AC38" si="41">SUM(J37:U37)</f>
        <v>0</v>
      </c>
      <c r="AD37" s="71"/>
      <c r="AE37" s="64"/>
    </row>
    <row r="38" spans="1:31" ht="15" customHeight="1" thickBot="1">
      <c r="A38" s="69"/>
      <c r="B38" s="16" t="s">
        <v>43</v>
      </c>
      <c r="C38" s="16">
        <f>VALUE('احمد احمد عباس'!C8)</f>
        <v>0</v>
      </c>
      <c r="D38" s="16">
        <f>VALUE('احمد احمد عباس'!D8)</f>
        <v>0</v>
      </c>
      <c r="E38" s="16">
        <f>VALUE('احمد احمد عباس'!E8)</f>
        <v>0</v>
      </c>
      <c r="F38" s="16">
        <f>VALUE('احمد احمد عباس'!F8)</f>
        <v>0</v>
      </c>
      <c r="G38" s="16">
        <f>VALUE('احمد احمد عباس'!G8)</f>
        <v>0</v>
      </c>
      <c r="H38" s="16">
        <f>VALUE('احمد احمد عباس'!H8)</f>
        <v>0</v>
      </c>
      <c r="I38" s="16">
        <f>VALUE('احمد احمد عباس'!I8)</f>
        <v>0</v>
      </c>
      <c r="J38" s="16">
        <f>VALUE('احمد احمد عباس'!J8)</f>
        <v>0</v>
      </c>
      <c r="K38" s="16">
        <f>VALUE('احمد احمد عباس'!K8)</f>
        <v>0</v>
      </c>
      <c r="L38" s="16">
        <f>VALUE('احمد احمد عباس'!L8)</f>
        <v>0</v>
      </c>
      <c r="M38" s="16">
        <f>VALUE('احمد احمد عباس'!M8)</f>
        <v>0</v>
      </c>
      <c r="N38" s="16">
        <f>VALUE('احمد احمد عباس'!N8)</f>
        <v>0</v>
      </c>
      <c r="O38" s="16">
        <f>VALUE('احمد احمد عباس'!O8)</f>
        <v>0</v>
      </c>
      <c r="P38" s="16">
        <f>VALUE('احمد احمد عباس'!P8)</f>
        <v>0</v>
      </c>
      <c r="Q38" s="16">
        <f>VALUE('احمد احمد عباس'!Q8)</f>
        <v>0</v>
      </c>
      <c r="R38" s="16">
        <f>VALUE('احمد احمد عباس'!R8)</f>
        <v>0</v>
      </c>
      <c r="S38" s="16">
        <f>VALUE('احمد احمد عباس'!S8)</f>
        <v>0</v>
      </c>
      <c r="T38" s="16">
        <f>VALUE('احمد احمد عباس'!T8)</f>
        <v>0</v>
      </c>
      <c r="U38" s="16">
        <f>VALUE('احمد احمد عباس'!U8)</f>
        <v>0</v>
      </c>
      <c r="V38" s="16">
        <f>VALUE('احمد احمد عباس'!V8)</f>
        <v>0</v>
      </c>
      <c r="W38" s="16">
        <f>VALUE('احمد احمد عباس'!W8)</f>
        <v>0</v>
      </c>
      <c r="X38" s="16">
        <f>VALUE('احمد احمد عباس'!X8)</f>
        <v>0</v>
      </c>
      <c r="Y38" s="16">
        <f>VALUE('احمد احمد عباس'!Y8)</f>
        <v>0</v>
      </c>
      <c r="Z38" s="16">
        <f>SUM('احمد احمد عباس'!Z8:AB8)</f>
        <v>0</v>
      </c>
      <c r="AA38" s="16">
        <f>VALUE('احمد احمد عباس'!AC8)</f>
        <v>0</v>
      </c>
      <c r="AB38" s="16">
        <f t="shared" si="40"/>
        <v>0</v>
      </c>
      <c r="AC38" s="16">
        <f t="shared" si="41"/>
        <v>0</v>
      </c>
      <c r="AD38" s="71"/>
      <c r="AE38" s="64"/>
    </row>
    <row r="39" spans="1:31" ht="15" customHeight="1" thickBot="1">
      <c r="A39" s="69" t="s">
        <v>75</v>
      </c>
      <c r="B39" s="19" t="s">
        <v>41</v>
      </c>
      <c r="C39" s="19">
        <f>VALUE('مارينا سامي صبري'!C6)</f>
        <v>0</v>
      </c>
      <c r="D39" s="19">
        <f>VALUE('مارينا سامي صبري'!D6)</f>
        <v>4</v>
      </c>
      <c r="E39" s="19">
        <f>VALUE('مارينا سامي صبري'!E6)</f>
        <v>0</v>
      </c>
      <c r="F39" s="19">
        <f>VALUE('مارينا سامي صبري'!F6)</f>
        <v>0</v>
      </c>
      <c r="G39" s="19">
        <f>VALUE('مارينا سامي صبري'!G6)</f>
        <v>0</v>
      </c>
      <c r="H39" s="19">
        <f>VALUE('مارينا سامي صبري'!H6)</f>
        <v>0</v>
      </c>
      <c r="I39" s="19">
        <f>VALUE('مارينا سامي صبري'!I6)</f>
        <v>0</v>
      </c>
      <c r="J39" s="19">
        <f>VALUE('مارينا سامي صبري'!J6)</f>
        <v>0</v>
      </c>
      <c r="K39" s="19">
        <f>VALUE('مارينا سامي صبري'!K6)</f>
        <v>0</v>
      </c>
      <c r="L39" s="19">
        <f>VALUE('مارينا سامي صبري'!L6)</f>
        <v>0</v>
      </c>
      <c r="M39" s="19">
        <f>VALUE('مارينا سامي صبري'!M6)</f>
        <v>0</v>
      </c>
      <c r="N39" s="19">
        <f>VALUE('مارينا سامي صبري'!N6)</f>
        <v>0</v>
      </c>
      <c r="O39" s="19">
        <f>VALUE('مارينا سامي صبري'!O6)</f>
        <v>0</v>
      </c>
      <c r="P39" s="19">
        <f>VALUE('مارينا سامي صبري'!P6)</f>
        <v>1</v>
      </c>
      <c r="Q39" s="19">
        <f>VALUE('مارينا سامي صبري'!Q6)</f>
        <v>0</v>
      </c>
      <c r="R39" s="19">
        <f>VALUE('مارينا سامي صبري'!R6)</f>
        <v>0</v>
      </c>
      <c r="S39" s="19">
        <f>VALUE('مارينا سامي صبري'!S6)</f>
        <v>0</v>
      </c>
      <c r="T39" s="19">
        <f>VALUE('مارينا سامي صبري'!T6)</f>
        <v>0</v>
      </c>
      <c r="U39" s="19">
        <f>VALUE('مارينا سامي صبري'!U6)</f>
        <v>0</v>
      </c>
      <c r="V39" s="19">
        <f>VALUE('مارينا سامي صبري'!V6)</f>
        <v>19</v>
      </c>
      <c r="W39" s="19">
        <f>VALUE('مارينا سامي صبري'!W6)</f>
        <v>0</v>
      </c>
      <c r="X39" s="19">
        <f>VALUE('مارينا سامي صبري'!X6)</f>
        <v>4</v>
      </c>
      <c r="Y39" s="19">
        <f>VALUE('مارينا سامي صبري'!Y6)</f>
        <v>0</v>
      </c>
      <c r="Z39" s="19">
        <f>SUM('مارينا سامي صبري'!Z6:AB6)</f>
        <v>0</v>
      </c>
      <c r="AA39" s="19">
        <f>VALUE('مارينا سامي صبري'!AC6)</f>
        <v>0</v>
      </c>
      <c r="AB39" s="19">
        <f>SUM(C39:AA39)</f>
        <v>28</v>
      </c>
      <c r="AC39" s="19">
        <f>SUM(J39:U39)</f>
        <v>1</v>
      </c>
      <c r="AD39" s="71">
        <f t="shared" ref="AD39" si="42">SUM(AC39:AC41)</f>
        <v>1</v>
      </c>
      <c r="AE39" s="64">
        <f t="shared" ref="AE39" si="43">SUM(C39:U41)+W39+W40+W41</f>
        <v>6</v>
      </c>
    </row>
    <row r="40" spans="1:31" ht="15" customHeight="1" thickBot="1">
      <c r="A40" s="69"/>
      <c r="B40" s="13" t="s">
        <v>42</v>
      </c>
      <c r="C40" s="20">
        <f>VALUE('مارينا سامي صبري'!C7)</f>
        <v>0</v>
      </c>
      <c r="D40" s="20">
        <f>VALUE('مارينا سامي صبري'!D7)</f>
        <v>0</v>
      </c>
      <c r="E40" s="20">
        <f>VALUE('مارينا سامي صبري'!E7)</f>
        <v>0</v>
      </c>
      <c r="F40" s="20">
        <f>VALUE('مارينا سامي صبري'!F7)</f>
        <v>0</v>
      </c>
      <c r="G40" s="20">
        <f>VALUE('مارينا سامي صبري'!G7)</f>
        <v>0</v>
      </c>
      <c r="H40" s="20">
        <f>VALUE('مارينا سامي صبري'!H7)</f>
        <v>0</v>
      </c>
      <c r="I40" s="20">
        <f>VALUE('مارينا سامي صبري'!I7)</f>
        <v>0</v>
      </c>
      <c r="J40" s="20">
        <f>VALUE('مارينا سامي صبري'!J7)</f>
        <v>0</v>
      </c>
      <c r="K40" s="20">
        <f>VALUE('مارينا سامي صبري'!K7)</f>
        <v>0</v>
      </c>
      <c r="L40" s="20">
        <f>VALUE('مارينا سامي صبري'!L7)</f>
        <v>0</v>
      </c>
      <c r="M40" s="20">
        <f>VALUE('مارينا سامي صبري'!M7)</f>
        <v>0</v>
      </c>
      <c r="N40" s="20">
        <f>VALUE('مارينا سامي صبري'!N7)</f>
        <v>0</v>
      </c>
      <c r="O40" s="20">
        <f>VALUE('مارينا سامي صبري'!O7)</f>
        <v>0</v>
      </c>
      <c r="P40" s="20">
        <f>VALUE('مارينا سامي صبري'!P7)</f>
        <v>0</v>
      </c>
      <c r="Q40" s="20">
        <f>VALUE('مارينا سامي صبري'!Q7)</f>
        <v>0</v>
      </c>
      <c r="R40" s="20">
        <f>VALUE('مارينا سامي صبري'!R7)</f>
        <v>0</v>
      </c>
      <c r="S40" s="20">
        <f>VALUE('مارينا سامي صبري'!S7)</f>
        <v>0</v>
      </c>
      <c r="T40" s="20">
        <f>VALUE('مارينا سامي صبري'!T7)</f>
        <v>0</v>
      </c>
      <c r="U40" s="20">
        <f>VALUE('مارينا سامي صبري'!U7)</f>
        <v>0</v>
      </c>
      <c r="V40" s="20">
        <f>VALUE('مارينا سامي صبري'!V7)</f>
        <v>0</v>
      </c>
      <c r="W40" s="20">
        <f>VALUE('مارينا سامي صبري'!W7)</f>
        <v>0</v>
      </c>
      <c r="X40" s="20">
        <f>VALUE('مارينا سامي صبري'!X7)</f>
        <v>0</v>
      </c>
      <c r="Y40" s="20">
        <f>VALUE('مارينا سامي صبري'!Y7)</f>
        <v>0</v>
      </c>
      <c r="Z40" s="20">
        <f>SUM('مارينا سامي صبري'!Z7:AB7)</f>
        <v>0</v>
      </c>
      <c r="AA40" s="20">
        <f>VALUE('مارينا سامي صبري'!AC7)</f>
        <v>0</v>
      </c>
      <c r="AB40" s="13">
        <f t="shared" ref="AB40:AB41" si="44">SUM(C40:AA40)</f>
        <v>0</v>
      </c>
      <c r="AC40" s="13">
        <f t="shared" ref="AC40:AC41" si="45">SUM(J40:U40)</f>
        <v>0</v>
      </c>
      <c r="AD40" s="71"/>
      <c r="AE40" s="64"/>
    </row>
    <row r="41" spans="1:31" ht="15" customHeight="1" thickBot="1">
      <c r="A41" s="69"/>
      <c r="B41" s="16" t="s">
        <v>43</v>
      </c>
      <c r="C41" s="16">
        <f>VALUE('مارينا سامي صبري'!C8)</f>
        <v>0</v>
      </c>
      <c r="D41" s="16">
        <f>VALUE('مارينا سامي صبري'!D8)</f>
        <v>0</v>
      </c>
      <c r="E41" s="16">
        <f>VALUE('مارينا سامي صبري'!E8)</f>
        <v>1</v>
      </c>
      <c r="F41" s="16">
        <f>VALUE('مارينا سامي صبري'!F8)</f>
        <v>0</v>
      </c>
      <c r="G41" s="16">
        <f>VALUE('مارينا سامي صبري'!G8)</f>
        <v>0</v>
      </c>
      <c r="H41" s="16">
        <f>VALUE('مارينا سامي صبري'!H8)</f>
        <v>0</v>
      </c>
      <c r="I41" s="16">
        <f>VALUE('مارينا سامي صبري'!I8)</f>
        <v>0</v>
      </c>
      <c r="J41" s="16">
        <f>VALUE('مارينا سامي صبري'!J8)</f>
        <v>0</v>
      </c>
      <c r="K41" s="16">
        <f>VALUE('مارينا سامي صبري'!K8)</f>
        <v>0</v>
      </c>
      <c r="L41" s="16">
        <f>VALUE('مارينا سامي صبري'!L8)</f>
        <v>0</v>
      </c>
      <c r="M41" s="16">
        <f>VALUE('مارينا سامي صبري'!M8)</f>
        <v>0</v>
      </c>
      <c r="N41" s="16">
        <f>VALUE('مارينا سامي صبري'!N8)</f>
        <v>0</v>
      </c>
      <c r="O41" s="16">
        <f>VALUE('مارينا سامي صبري'!O8)</f>
        <v>0</v>
      </c>
      <c r="P41" s="16">
        <f>VALUE('مارينا سامي صبري'!P8)</f>
        <v>0</v>
      </c>
      <c r="Q41" s="16">
        <f>VALUE('مارينا سامي صبري'!Q8)</f>
        <v>0</v>
      </c>
      <c r="R41" s="16">
        <f>VALUE('مارينا سامي صبري'!R8)</f>
        <v>0</v>
      </c>
      <c r="S41" s="16">
        <f>VALUE('مارينا سامي صبري'!S8)</f>
        <v>0</v>
      </c>
      <c r="T41" s="16">
        <f>VALUE('مارينا سامي صبري'!T8)</f>
        <v>0</v>
      </c>
      <c r="U41" s="16">
        <f>VALUE('مارينا سامي صبري'!U8)</f>
        <v>0</v>
      </c>
      <c r="V41" s="16">
        <f>VALUE('مارينا سامي صبري'!V8)</f>
        <v>1</v>
      </c>
      <c r="W41" s="16">
        <f>VALUE('مارينا سامي صبري'!W8)</f>
        <v>0</v>
      </c>
      <c r="X41" s="16">
        <f>VALUE('مارينا سامي صبري'!X8)</f>
        <v>0</v>
      </c>
      <c r="Y41" s="16">
        <f>VALUE('مارينا سامي صبري'!Y8)</f>
        <v>0</v>
      </c>
      <c r="Z41" s="16">
        <f>SUM('مارينا سامي صبري'!Z8:AB8)</f>
        <v>0</v>
      </c>
      <c r="AA41" s="16">
        <f>VALUE('مارينا سامي صبري'!AC8)</f>
        <v>0</v>
      </c>
      <c r="AB41" s="16">
        <f t="shared" si="44"/>
        <v>2</v>
      </c>
      <c r="AC41" s="16">
        <f t="shared" si="45"/>
        <v>0</v>
      </c>
      <c r="AD41" s="71"/>
      <c r="AE41" s="64"/>
    </row>
    <row r="42" spans="1:31" ht="15" customHeight="1" thickBot="1">
      <c r="A42" s="69" t="s">
        <v>76</v>
      </c>
      <c r="B42" s="19" t="s">
        <v>41</v>
      </c>
      <c r="C42" s="19">
        <f>VALUE('شاهندة مجدي محمد'!C6)</f>
        <v>0</v>
      </c>
      <c r="D42" s="19">
        <f>VALUE('شاهندة مجدي محمد'!D6)</f>
        <v>3</v>
      </c>
      <c r="E42" s="19">
        <f>VALUE('شاهندة مجدي محمد'!E6)</f>
        <v>0</v>
      </c>
      <c r="F42" s="19">
        <f>VALUE('شاهندة مجدي محمد'!F6)</f>
        <v>0</v>
      </c>
      <c r="G42" s="19">
        <f>VALUE('شاهندة مجدي محمد'!G6)</f>
        <v>0</v>
      </c>
      <c r="H42" s="19">
        <f>VALUE('شاهندة مجدي محمد'!H6)</f>
        <v>1</v>
      </c>
      <c r="I42" s="19">
        <f>VALUE('شاهندة مجدي محمد'!I6)</f>
        <v>0</v>
      </c>
      <c r="J42" s="19">
        <f>VALUE('شاهندة مجدي محمد'!J6)</f>
        <v>1</v>
      </c>
      <c r="K42" s="19">
        <f>VALUE('شاهندة مجدي محمد'!K6)</f>
        <v>0</v>
      </c>
      <c r="L42" s="19">
        <f>VALUE('شاهندة مجدي محمد'!L6)</f>
        <v>0</v>
      </c>
      <c r="M42" s="19">
        <f>VALUE('شاهندة مجدي محمد'!M6)</f>
        <v>0</v>
      </c>
      <c r="N42" s="19">
        <f>VALUE('شاهندة مجدي محمد'!N6)</f>
        <v>0</v>
      </c>
      <c r="O42" s="19">
        <f>VALUE('شاهندة مجدي محمد'!O6)</f>
        <v>0</v>
      </c>
      <c r="P42" s="19">
        <f>VALUE('شاهندة مجدي محمد'!P6)</f>
        <v>1</v>
      </c>
      <c r="Q42" s="19">
        <f>VALUE('شاهندة مجدي محمد'!Q6)</f>
        <v>5</v>
      </c>
      <c r="R42" s="19">
        <f>VALUE('شاهندة مجدي محمد'!R6)</f>
        <v>1</v>
      </c>
      <c r="S42" s="19">
        <f>VALUE('شاهندة مجدي محمد'!S6)</f>
        <v>0</v>
      </c>
      <c r="T42" s="19">
        <f>VALUE('شاهندة مجدي محمد'!T6)</f>
        <v>2</v>
      </c>
      <c r="U42" s="19">
        <f>VALUE('شاهندة مجدي محمد'!U6)</f>
        <v>0</v>
      </c>
      <c r="V42" s="19">
        <f>VALUE('شاهندة مجدي محمد'!V6)</f>
        <v>14</v>
      </c>
      <c r="W42" s="19">
        <f>VALUE('شاهندة مجدي محمد'!W6)</f>
        <v>0</v>
      </c>
      <c r="X42" s="19">
        <f>VALUE('شاهندة مجدي محمد'!X6)</f>
        <v>8</v>
      </c>
      <c r="Y42" s="19">
        <f>VALUE('شاهندة مجدي محمد'!Y6)</f>
        <v>0</v>
      </c>
      <c r="Z42" s="19">
        <f>SUM('شاهندة مجدي محمد'!Z6:AB6)</f>
        <v>0</v>
      </c>
      <c r="AA42" s="19">
        <f>VALUE('شاهندة مجدي محمد'!AC6)</f>
        <v>0</v>
      </c>
      <c r="AB42" s="19">
        <f>SUM(C42:AA42)</f>
        <v>36</v>
      </c>
      <c r="AC42" s="19">
        <f>SUM(J42:U42)</f>
        <v>10</v>
      </c>
      <c r="AD42" s="71">
        <f t="shared" ref="AD42" si="46">SUM(AC42:AC44)</f>
        <v>14</v>
      </c>
      <c r="AE42" s="64">
        <f t="shared" ref="AE42" si="47">SUM(C42:U44)+W42+W43+W44</f>
        <v>18</v>
      </c>
    </row>
    <row r="43" spans="1:31" ht="15" customHeight="1" thickBot="1">
      <c r="A43" s="69"/>
      <c r="B43" s="13" t="s">
        <v>42</v>
      </c>
      <c r="C43" s="20">
        <f>VALUE('شاهندة مجدي محمد'!C7)</f>
        <v>0</v>
      </c>
      <c r="D43" s="20">
        <f>VALUE('شاهندة مجدي محمد'!D7)</f>
        <v>0</v>
      </c>
      <c r="E43" s="20">
        <f>VALUE('شاهندة مجدي محمد'!E7)</f>
        <v>0</v>
      </c>
      <c r="F43" s="20">
        <f>VALUE('شاهندة مجدي محمد'!F7)</f>
        <v>0</v>
      </c>
      <c r="G43" s="20">
        <f>VALUE('شاهندة مجدي محمد'!G7)</f>
        <v>0</v>
      </c>
      <c r="H43" s="20">
        <f>VALUE('شاهندة مجدي محمد'!H7)</f>
        <v>0</v>
      </c>
      <c r="I43" s="20">
        <f>VALUE('شاهندة مجدي محمد'!I7)</f>
        <v>0</v>
      </c>
      <c r="J43" s="20">
        <f>VALUE('شاهندة مجدي محمد'!J7)</f>
        <v>0</v>
      </c>
      <c r="K43" s="20">
        <f>VALUE('شاهندة مجدي محمد'!K7)</f>
        <v>0</v>
      </c>
      <c r="L43" s="20">
        <f>VALUE('شاهندة مجدي محمد'!L7)</f>
        <v>0</v>
      </c>
      <c r="M43" s="20">
        <f>VALUE('شاهندة مجدي محمد'!M7)</f>
        <v>0</v>
      </c>
      <c r="N43" s="20">
        <f>VALUE('شاهندة مجدي محمد'!N7)</f>
        <v>0</v>
      </c>
      <c r="O43" s="20">
        <f>VALUE('شاهندة مجدي محمد'!O7)</f>
        <v>0</v>
      </c>
      <c r="P43" s="20">
        <f>VALUE('شاهندة مجدي محمد'!P7)</f>
        <v>0</v>
      </c>
      <c r="Q43" s="20">
        <f>VALUE('شاهندة مجدي محمد'!Q7)</f>
        <v>0</v>
      </c>
      <c r="R43" s="20">
        <f>VALUE('شاهندة مجدي محمد'!R7)</f>
        <v>0</v>
      </c>
      <c r="S43" s="20">
        <f>VALUE('شاهندة مجدي محمد'!S7)</f>
        <v>0</v>
      </c>
      <c r="T43" s="20">
        <f>VALUE('شاهندة مجدي محمد'!T7)</f>
        <v>1</v>
      </c>
      <c r="U43" s="20">
        <f>VALUE('شاهندة مجدي محمد'!U7)</f>
        <v>0</v>
      </c>
      <c r="V43" s="20">
        <f>VALUE('شاهندة مجدي محمد'!V7)</f>
        <v>0</v>
      </c>
      <c r="W43" s="20">
        <f>VALUE('شاهندة مجدي محمد'!W7)</f>
        <v>0</v>
      </c>
      <c r="X43" s="20">
        <f>VALUE('شاهندة مجدي محمد'!X7)</f>
        <v>0</v>
      </c>
      <c r="Y43" s="20">
        <f>VALUE('شاهندة مجدي محمد'!Y7)</f>
        <v>0</v>
      </c>
      <c r="Z43" s="20">
        <f>SUM('شاهندة مجدي محمد'!Z7:AB7)</f>
        <v>0</v>
      </c>
      <c r="AA43" s="20">
        <f>VALUE('شاهندة مجدي محمد'!AC7)</f>
        <v>0</v>
      </c>
      <c r="AB43" s="13">
        <f t="shared" ref="AB43:AB44" si="48">SUM(C43:AA43)</f>
        <v>1</v>
      </c>
      <c r="AC43" s="13">
        <f t="shared" ref="AC43:AC44" si="49">SUM(J43:U43)</f>
        <v>1</v>
      </c>
      <c r="AD43" s="71"/>
      <c r="AE43" s="64"/>
    </row>
    <row r="44" spans="1:31" ht="15" customHeight="1" thickBot="1">
      <c r="A44" s="69"/>
      <c r="B44" s="16" t="s">
        <v>43</v>
      </c>
      <c r="C44" s="16">
        <f>VALUE('شاهندة مجدي محمد'!C8)</f>
        <v>0</v>
      </c>
      <c r="D44" s="16">
        <f>VALUE('شاهندة مجدي محمد'!D8)</f>
        <v>0</v>
      </c>
      <c r="E44" s="16">
        <f>VALUE('شاهندة مجدي محمد'!E8)</f>
        <v>0</v>
      </c>
      <c r="F44" s="16">
        <f>VALUE('شاهندة مجدي محمد'!F8)</f>
        <v>0</v>
      </c>
      <c r="G44" s="16">
        <f>VALUE('شاهندة مجدي محمد'!G8)</f>
        <v>0</v>
      </c>
      <c r="H44" s="16">
        <f>VALUE('شاهندة مجدي محمد'!H8)</f>
        <v>0</v>
      </c>
      <c r="I44" s="16">
        <f>VALUE('شاهندة مجدي محمد'!I8)</f>
        <v>0</v>
      </c>
      <c r="J44" s="16">
        <f>VALUE('شاهندة مجدي محمد'!J8)</f>
        <v>0</v>
      </c>
      <c r="K44" s="16">
        <f>VALUE('شاهندة مجدي محمد'!K8)</f>
        <v>0</v>
      </c>
      <c r="L44" s="16">
        <f>VALUE('شاهندة مجدي محمد'!L8)</f>
        <v>0</v>
      </c>
      <c r="M44" s="16">
        <f>VALUE('شاهندة مجدي محمد'!M8)</f>
        <v>0</v>
      </c>
      <c r="N44" s="16">
        <f>VALUE('شاهندة مجدي محمد'!N8)</f>
        <v>0</v>
      </c>
      <c r="O44" s="16">
        <f>VALUE('شاهندة مجدي محمد'!O8)</f>
        <v>0</v>
      </c>
      <c r="P44" s="16">
        <f>VALUE('شاهندة مجدي محمد'!P8)</f>
        <v>0</v>
      </c>
      <c r="Q44" s="16">
        <f>VALUE('شاهندة مجدي محمد'!Q8)</f>
        <v>0</v>
      </c>
      <c r="R44" s="16">
        <f>VALUE('شاهندة مجدي محمد'!R8)</f>
        <v>1</v>
      </c>
      <c r="S44" s="16">
        <f>VALUE('شاهندة مجدي محمد'!S8)</f>
        <v>0</v>
      </c>
      <c r="T44" s="16">
        <f>VALUE('شاهندة مجدي محمد'!T8)</f>
        <v>2</v>
      </c>
      <c r="U44" s="16">
        <f>VALUE('شاهندة مجدي محمد'!U8)</f>
        <v>0</v>
      </c>
      <c r="V44" s="16">
        <f>VALUE('شاهندة مجدي محمد'!V8)</f>
        <v>0</v>
      </c>
      <c r="W44" s="16">
        <f>VALUE('شاهندة مجدي محمد'!W8)</f>
        <v>0</v>
      </c>
      <c r="X44" s="16">
        <f>VALUE('شاهندة مجدي محمد'!X8)</f>
        <v>0</v>
      </c>
      <c r="Y44" s="16">
        <f>VALUE('شاهندة مجدي محمد'!Y8)</f>
        <v>0</v>
      </c>
      <c r="Z44" s="16">
        <f>SUM('شاهندة مجدي محمد'!Z8:AB8)</f>
        <v>1</v>
      </c>
      <c r="AA44" s="16">
        <f>VALUE('شاهندة مجدي محمد'!AC8)</f>
        <v>0</v>
      </c>
      <c r="AB44" s="16">
        <f t="shared" si="48"/>
        <v>4</v>
      </c>
      <c r="AC44" s="16">
        <f t="shared" si="49"/>
        <v>3</v>
      </c>
      <c r="AD44" s="71"/>
      <c r="AE44" s="64"/>
    </row>
    <row r="45" spans="1:31" ht="15" customHeight="1" thickBot="1">
      <c r="A45" s="69" t="s">
        <v>84</v>
      </c>
      <c r="B45" s="19" t="s">
        <v>41</v>
      </c>
      <c r="C45" s="19">
        <f>VALUE('فاطمة طارق'!C6)</f>
        <v>2</v>
      </c>
      <c r="D45" s="19">
        <f>VALUE('فاطمة طارق'!D6)</f>
        <v>7</v>
      </c>
      <c r="E45" s="19">
        <f>VALUE('فاطمة طارق'!E6)</f>
        <v>2</v>
      </c>
      <c r="F45" s="19">
        <f>VALUE('فاطمة طارق'!F6)</f>
        <v>0</v>
      </c>
      <c r="G45" s="19">
        <f>VALUE('فاطمة طارق'!G6)</f>
        <v>0</v>
      </c>
      <c r="H45" s="19">
        <f>VALUE('فاطمة طارق'!H6)</f>
        <v>2</v>
      </c>
      <c r="I45" s="19">
        <f>VALUE('فاطمة طارق'!I6)</f>
        <v>0</v>
      </c>
      <c r="J45" s="19">
        <f>VALUE('فاطمة طارق'!J6)</f>
        <v>0</v>
      </c>
      <c r="K45" s="19">
        <f>VALUE('فاطمة طارق'!K6)</f>
        <v>0</v>
      </c>
      <c r="L45" s="19">
        <f>VALUE('فاطمة طارق'!L6)</f>
        <v>0</v>
      </c>
      <c r="M45" s="19">
        <f>VALUE('فاطمة طارق'!M6)</f>
        <v>0</v>
      </c>
      <c r="N45" s="19">
        <f>VALUE('فاطمة طارق'!N6)</f>
        <v>0</v>
      </c>
      <c r="O45" s="19">
        <f>VALUE('فاطمة طارق'!O6)</f>
        <v>0</v>
      </c>
      <c r="P45" s="19">
        <f>VALUE('فاطمة طارق'!P6)</f>
        <v>2</v>
      </c>
      <c r="Q45" s="19">
        <f>VALUE('فاطمة طارق'!Q6)</f>
        <v>5</v>
      </c>
      <c r="R45" s="19">
        <f>VALUE('فاطمة طارق'!R6)</f>
        <v>0</v>
      </c>
      <c r="S45" s="19">
        <f>VALUE('فاطمة طارق'!S6)</f>
        <v>0</v>
      </c>
      <c r="T45" s="19">
        <f>VALUE('فاطمة طارق'!T6)</f>
        <v>1</v>
      </c>
      <c r="U45" s="19">
        <f>VALUE('فاطمة طارق'!U6)</f>
        <v>1</v>
      </c>
      <c r="V45" s="19">
        <f>VALUE('فاطمة طارق'!V6)</f>
        <v>18</v>
      </c>
      <c r="W45" s="19">
        <f>VALUE('فاطمة طارق'!W6)</f>
        <v>2</v>
      </c>
      <c r="X45" s="19">
        <f>VALUE('فاطمة طارق'!X6)</f>
        <v>6</v>
      </c>
      <c r="Y45" s="19">
        <f>VALUE('فاطمة طارق'!Y6)</f>
        <v>0</v>
      </c>
      <c r="Z45" s="19">
        <f>SUM('فاطمة طارق'!Z6:AB6)</f>
        <v>0</v>
      </c>
      <c r="AA45" s="19">
        <f>VALUE('فاطمة طارق'!AC6)</f>
        <v>0</v>
      </c>
      <c r="AB45" s="19">
        <f>SUM(C45:AA45)</f>
        <v>48</v>
      </c>
      <c r="AC45" s="19">
        <f>SUM(J45:U45)</f>
        <v>9</v>
      </c>
      <c r="AD45" s="71">
        <f t="shared" ref="AD45" si="50">SUM(AC45:AC47)</f>
        <v>14</v>
      </c>
      <c r="AE45" s="64">
        <f t="shared" ref="AE45" si="51">SUM(C45:U47)+W45+W46+W47</f>
        <v>32</v>
      </c>
    </row>
    <row r="46" spans="1:31" ht="15" customHeight="1" thickBot="1">
      <c r="A46" s="69"/>
      <c r="B46" s="13" t="s">
        <v>42</v>
      </c>
      <c r="C46" s="20">
        <f>VALUE('فاطمة طارق'!C7)</f>
        <v>1</v>
      </c>
      <c r="D46" s="20">
        <f>VALUE('فاطمة طارق'!D7)</f>
        <v>1</v>
      </c>
      <c r="E46" s="20">
        <f>VALUE('فاطمة طارق'!E7)</f>
        <v>0</v>
      </c>
      <c r="F46" s="20">
        <f>VALUE('فاطمة طارق'!F7)</f>
        <v>0</v>
      </c>
      <c r="G46" s="20">
        <f>VALUE('فاطمة طارق'!G7)</f>
        <v>0</v>
      </c>
      <c r="H46" s="20">
        <f>VALUE('فاطمة طارق'!H7)</f>
        <v>1</v>
      </c>
      <c r="I46" s="20">
        <f>VALUE('فاطمة طارق'!I7)</f>
        <v>0</v>
      </c>
      <c r="J46" s="20">
        <f>VALUE('فاطمة طارق'!J7)</f>
        <v>0</v>
      </c>
      <c r="K46" s="20">
        <f>VALUE('فاطمة طارق'!K7)</f>
        <v>0</v>
      </c>
      <c r="L46" s="20">
        <f>VALUE('فاطمة طارق'!L7)</f>
        <v>0</v>
      </c>
      <c r="M46" s="20">
        <f>VALUE('فاطمة طارق'!M7)</f>
        <v>0</v>
      </c>
      <c r="N46" s="20">
        <f>VALUE('فاطمة طارق'!N7)</f>
        <v>0</v>
      </c>
      <c r="O46" s="20">
        <f>VALUE('فاطمة طارق'!O7)</f>
        <v>0</v>
      </c>
      <c r="P46" s="20">
        <f>VALUE('فاطمة طارق'!P7)</f>
        <v>0</v>
      </c>
      <c r="Q46" s="20">
        <f>VALUE('فاطمة طارق'!Q7)</f>
        <v>2</v>
      </c>
      <c r="R46" s="20">
        <f>VALUE('فاطمة طارق'!R7)</f>
        <v>0</v>
      </c>
      <c r="S46" s="20">
        <f>VALUE('فاطمة طارق'!S7)</f>
        <v>0</v>
      </c>
      <c r="T46" s="20">
        <f>VALUE('فاطمة طارق'!T7)</f>
        <v>2</v>
      </c>
      <c r="U46" s="20">
        <f>VALUE('فاطمة طارق'!U7)</f>
        <v>1</v>
      </c>
      <c r="V46" s="20">
        <f>VALUE('فاطمة طارق'!V7)</f>
        <v>2</v>
      </c>
      <c r="W46" s="20">
        <f>VALUE('فاطمة طارق'!W7)</f>
        <v>0</v>
      </c>
      <c r="X46" s="20">
        <f>VALUE('فاطمة طارق'!X7)</f>
        <v>0</v>
      </c>
      <c r="Y46" s="20">
        <f>VALUE('فاطمة طارق'!Y7)</f>
        <v>0</v>
      </c>
      <c r="Z46" s="20">
        <f>SUM('فاطمة طارق'!Z7:AB7)</f>
        <v>0</v>
      </c>
      <c r="AA46" s="20">
        <f>VALUE('فاطمة طارق'!AC7)</f>
        <v>0</v>
      </c>
      <c r="AB46" s="13">
        <f t="shared" ref="AB46:AB47" si="52">SUM(C46:AA46)</f>
        <v>10</v>
      </c>
      <c r="AC46" s="13">
        <f t="shared" ref="AC46:AC47" si="53">SUM(J46:U46)</f>
        <v>5</v>
      </c>
      <c r="AD46" s="71"/>
      <c r="AE46" s="64"/>
    </row>
    <row r="47" spans="1:31" ht="15" customHeight="1" thickBot="1">
      <c r="A47" s="69"/>
      <c r="B47" s="16" t="s">
        <v>43</v>
      </c>
      <c r="C47" s="16">
        <f>VALUE('فاطمة طارق'!C8)</f>
        <v>0</v>
      </c>
      <c r="D47" s="16">
        <f>VALUE('فاطمة طارق'!D8)</f>
        <v>0</v>
      </c>
      <c r="E47" s="16">
        <f>VALUE('فاطمة طارق'!E8)</f>
        <v>0</v>
      </c>
      <c r="F47" s="16">
        <f>VALUE('فاطمة طارق'!F8)</f>
        <v>0</v>
      </c>
      <c r="G47" s="16">
        <f>VALUE('فاطمة طارق'!G8)</f>
        <v>0</v>
      </c>
      <c r="H47" s="16">
        <f>VALUE('فاطمة طارق'!H8)</f>
        <v>0</v>
      </c>
      <c r="I47" s="16">
        <f>VALUE('فاطمة طارق'!I8)</f>
        <v>0</v>
      </c>
      <c r="J47" s="16">
        <f>VALUE('فاطمة طارق'!J8)</f>
        <v>0</v>
      </c>
      <c r="K47" s="16">
        <f>VALUE('فاطمة طارق'!K8)</f>
        <v>0</v>
      </c>
      <c r="L47" s="16">
        <f>VALUE('فاطمة طارق'!L8)</f>
        <v>0</v>
      </c>
      <c r="M47" s="16">
        <f>VALUE('فاطمة طارق'!M8)</f>
        <v>0</v>
      </c>
      <c r="N47" s="16">
        <f>VALUE('فاطمة طارق'!N8)</f>
        <v>0</v>
      </c>
      <c r="O47" s="16">
        <f>VALUE('فاطمة طارق'!O8)</f>
        <v>0</v>
      </c>
      <c r="P47" s="16">
        <f>VALUE('فاطمة طارق'!P8)</f>
        <v>0</v>
      </c>
      <c r="Q47" s="16">
        <f>VALUE('فاطمة طارق'!Q8)</f>
        <v>0</v>
      </c>
      <c r="R47" s="16">
        <f>VALUE('فاطمة طارق'!R8)</f>
        <v>0</v>
      </c>
      <c r="S47" s="16">
        <f>VALUE('فاطمة طارق'!S8)</f>
        <v>0</v>
      </c>
      <c r="T47" s="16">
        <f>VALUE('فاطمة طارق'!T8)</f>
        <v>0</v>
      </c>
      <c r="U47" s="16">
        <f>VALUE('فاطمة طارق'!U8)</f>
        <v>0</v>
      </c>
      <c r="V47" s="16">
        <f>VALUE('فاطمة طارق'!V8)</f>
        <v>0</v>
      </c>
      <c r="W47" s="16">
        <f>VALUE('فاطمة طارق'!W8)</f>
        <v>0</v>
      </c>
      <c r="X47" s="16">
        <f>VALUE('فاطمة طارق'!X8)</f>
        <v>0</v>
      </c>
      <c r="Y47" s="16">
        <f>VALUE('فاطمة طارق'!Y8)</f>
        <v>0</v>
      </c>
      <c r="Z47" s="16">
        <f>SUM('فاطمة طارق'!Z8:AB8)</f>
        <v>8</v>
      </c>
      <c r="AA47" s="16">
        <f>VALUE('فاطمة طارق'!AC8)</f>
        <v>0</v>
      </c>
      <c r="AB47" s="16">
        <f t="shared" si="52"/>
        <v>8</v>
      </c>
      <c r="AC47" s="16">
        <f t="shared" si="53"/>
        <v>0</v>
      </c>
      <c r="AD47" s="71"/>
      <c r="AE47" s="64"/>
    </row>
    <row r="48" spans="1:31" ht="15" customHeight="1" thickBot="1">
      <c r="A48" s="69" t="s">
        <v>85</v>
      </c>
      <c r="B48" s="19" t="s">
        <v>41</v>
      </c>
      <c r="C48" s="19">
        <f>VALUE('عمرو عصام الدين'!C6)</f>
        <v>0</v>
      </c>
      <c r="D48" s="19">
        <f>VALUE('عمرو عصام الدين'!D6)</f>
        <v>5</v>
      </c>
      <c r="E48" s="19">
        <f>VALUE('عمرو عصام الدين'!E6)</f>
        <v>0</v>
      </c>
      <c r="F48" s="19">
        <f>VALUE('عمرو عصام الدين'!F6)</f>
        <v>0</v>
      </c>
      <c r="G48" s="19">
        <f>VALUE('عمرو عصام الدين'!G6)</f>
        <v>0</v>
      </c>
      <c r="H48" s="19">
        <f>VALUE('عمرو عصام الدين'!H6)</f>
        <v>0</v>
      </c>
      <c r="I48" s="19">
        <f>VALUE('عمرو عصام الدين'!I6)</f>
        <v>0</v>
      </c>
      <c r="J48" s="19">
        <f>VALUE('عمرو عصام الدين'!J6)</f>
        <v>0</v>
      </c>
      <c r="K48" s="19">
        <f>VALUE('عمرو عصام الدين'!K6)</f>
        <v>0</v>
      </c>
      <c r="L48" s="19">
        <f>VALUE('عمرو عصام الدين'!L6)</f>
        <v>0</v>
      </c>
      <c r="M48" s="19">
        <f>VALUE('عمرو عصام الدين'!M6)</f>
        <v>0</v>
      </c>
      <c r="N48" s="19">
        <f>VALUE('عمرو عصام الدين'!N6)</f>
        <v>0</v>
      </c>
      <c r="O48" s="19">
        <f>VALUE('عمرو عصام الدين'!O6)</f>
        <v>0</v>
      </c>
      <c r="P48" s="19">
        <f>VALUE('عمرو عصام الدين'!P6)</f>
        <v>0</v>
      </c>
      <c r="Q48" s="19">
        <f>VALUE('عمرو عصام الدين'!Q6)</f>
        <v>0</v>
      </c>
      <c r="R48" s="19">
        <f>VALUE('عمرو عصام الدين'!R6)</f>
        <v>0</v>
      </c>
      <c r="S48" s="19">
        <f>VALUE('عمرو عصام الدين'!S6)</f>
        <v>1</v>
      </c>
      <c r="T48" s="19">
        <f>VALUE('عمرو عصام الدين'!T6)</f>
        <v>0</v>
      </c>
      <c r="U48" s="19">
        <f>VALUE('عمرو عصام الدين'!U6)</f>
        <v>1</v>
      </c>
      <c r="V48" s="19">
        <f>VALUE('عمرو عصام الدين'!V6)</f>
        <v>15</v>
      </c>
      <c r="W48" s="19">
        <f>VALUE('عمرو عصام الدين'!W6)</f>
        <v>1</v>
      </c>
      <c r="X48" s="19">
        <f>VALUE('عمرو عصام الدين'!X6)</f>
        <v>1</v>
      </c>
      <c r="Y48" s="19">
        <f>VALUE('عمرو عصام الدين'!Y6)</f>
        <v>0</v>
      </c>
      <c r="Z48" s="19">
        <f>SUM('عمرو عصام الدين'!Z6:AB6)</f>
        <v>0</v>
      </c>
      <c r="AA48" s="19">
        <f>VALUE('عمرو عصام الدين'!AC6)</f>
        <v>0</v>
      </c>
      <c r="AB48" s="19">
        <f>SUM(C48:AA48)</f>
        <v>24</v>
      </c>
      <c r="AC48" s="19">
        <f>SUM(J48:U48)</f>
        <v>2</v>
      </c>
      <c r="AD48" s="71">
        <f t="shared" ref="AD48" si="54">SUM(AC48:AC50)</f>
        <v>3</v>
      </c>
      <c r="AE48" s="64">
        <f t="shared" ref="AE48" si="55">SUM(C48:U50)+W48+W49+W50</f>
        <v>9</v>
      </c>
    </row>
    <row r="49" spans="1:31" ht="15" customHeight="1" thickBot="1">
      <c r="A49" s="69"/>
      <c r="B49" s="13" t="s">
        <v>42</v>
      </c>
      <c r="C49" s="20">
        <f>VALUE('عمرو عصام الدين'!C7)</f>
        <v>0</v>
      </c>
      <c r="D49" s="20">
        <f>VALUE('عمرو عصام الدين'!D7)</f>
        <v>0</v>
      </c>
      <c r="E49" s="20">
        <f>VALUE('عمرو عصام الدين'!E7)</f>
        <v>0</v>
      </c>
      <c r="F49" s="20">
        <f>VALUE('عمرو عصام الدين'!F7)</f>
        <v>0</v>
      </c>
      <c r="G49" s="20">
        <f>VALUE('عمرو عصام الدين'!G7)</f>
        <v>0</v>
      </c>
      <c r="H49" s="20">
        <f>VALUE('عمرو عصام الدين'!H7)</f>
        <v>0</v>
      </c>
      <c r="I49" s="20">
        <f>VALUE('عمرو عصام الدين'!I7)</f>
        <v>0</v>
      </c>
      <c r="J49" s="20">
        <f>VALUE('عمرو عصام الدين'!J7)</f>
        <v>0</v>
      </c>
      <c r="K49" s="20">
        <f>VALUE('عمرو عصام الدين'!K7)</f>
        <v>0</v>
      </c>
      <c r="L49" s="20">
        <f>VALUE('عمرو عصام الدين'!L7)</f>
        <v>0</v>
      </c>
      <c r="M49" s="20">
        <f>VALUE('عمرو عصام الدين'!M7)</f>
        <v>0</v>
      </c>
      <c r="N49" s="20">
        <f>VALUE('عمرو عصام الدين'!N7)</f>
        <v>0</v>
      </c>
      <c r="O49" s="20">
        <f>VALUE('عمرو عصام الدين'!O7)</f>
        <v>0</v>
      </c>
      <c r="P49" s="20">
        <f>VALUE('عمرو عصام الدين'!P7)</f>
        <v>0</v>
      </c>
      <c r="Q49" s="20">
        <f>VALUE('عمرو عصام الدين'!Q7)</f>
        <v>0</v>
      </c>
      <c r="R49" s="20">
        <f>VALUE('عمرو عصام الدين'!R7)</f>
        <v>0</v>
      </c>
      <c r="S49" s="20">
        <f>VALUE('عمرو عصام الدين'!S7)</f>
        <v>0</v>
      </c>
      <c r="T49" s="20">
        <f>VALUE('عمرو عصام الدين'!T7)</f>
        <v>0</v>
      </c>
      <c r="U49" s="20">
        <f>VALUE('عمرو عصام الدين'!U7)</f>
        <v>1</v>
      </c>
      <c r="V49" s="20">
        <f>VALUE('عمرو عصام الدين'!V7)</f>
        <v>0</v>
      </c>
      <c r="W49" s="20">
        <f>VALUE('عمرو عصام الدين'!W7)</f>
        <v>0</v>
      </c>
      <c r="X49" s="20">
        <f>VALUE('عمرو عصام الدين'!X7)</f>
        <v>0</v>
      </c>
      <c r="Y49" s="20">
        <f>VALUE('عمرو عصام الدين'!Y7)</f>
        <v>0</v>
      </c>
      <c r="Z49" s="20">
        <f>SUM('عمرو عصام الدين'!Z7:AB7)</f>
        <v>0</v>
      </c>
      <c r="AA49" s="20">
        <f>VALUE('عمرو عصام الدين'!AC7)</f>
        <v>0</v>
      </c>
      <c r="AB49" s="13">
        <f t="shared" ref="AB49:AB50" si="56">SUM(C49:AA49)</f>
        <v>1</v>
      </c>
      <c r="AC49" s="13">
        <f t="shared" ref="AC49:AC50" si="57">SUM(J49:U49)</f>
        <v>1</v>
      </c>
      <c r="AD49" s="71"/>
      <c r="AE49" s="64"/>
    </row>
    <row r="50" spans="1:31" ht="15" customHeight="1" thickBot="1">
      <c r="A50" s="69"/>
      <c r="B50" s="16" t="s">
        <v>43</v>
      </c>
      <c r="C50" s="16">
        <f>VALUE('عمرو عصام الدين'!C8)</f>
        <v>0</v>
      </c>
      <c r="D50" s="16">
        <f>VALUE('عمرو عصام الدين'!D8)</f>
        <v>0</v>
      </c>
      <c r="E50" s="16">
        <f>VALUE('عمرو عصام الدين'!E8)</f>
        <v>0</v>
      </c>
      <c r="F50" s="16">
        <f>VALUE('عمرو عصام الدين'!F8)</f>
        <v>0</v>
      </c>
      <c r="G50" s="16">
        <f>VALUE('عمرو عصام الدين'!G8)</f>
        <v>0</v>
      </c>
      <c r="H50" s="16">
        <f>VALUE('عمرو عصام الدين'!H8)</f>
        <v>0</v>
      </c>
      <c r="I50" s="16">
        <f>VALUE('عمرو عصام الدين'!I8)</f>
        <v>0</v>
      </c>
      <c r="J50" s="16">
        <f>VALUE('عمرو عصام الدين'!J8)</f>
        <v>0</v>
      </c>
      <c r="K50" s="16">
        <f>VALUE('عمرو عصام الدين'!K8)</f>
        <v>0</v>
      </c>
      <c r="L50" s="16">
        <f>VALUE('عمرو عصام الدين'!L8)</f>
        <v>0</v>
      </c>
      <c r="M50" s="16">
        <f>VALUE('عمرو عصام الدين'!M8)</f>
        <v>0</v>
      </c>
      <c r="N50" s="16">
        <f>VALUE('عمرو عصام الدين'!N8)</f>
        <v>0</v>
      </c>
      <c r="O50" s="16">
        <f>VALUE('عمرو عصام الدين'!O8)</f>
        <v>0</v>
      </c>
      <c r="P50" s="16">
        <f>VALUE('عمرو عصام الدين'!P8)</f>
        <v>0</v>
      </c>
      <c r="Q50" s="16">
        <f>VALUE('عمرو عصام الدين'!Q8)</f>
        <v>0</v>
      </c>
      <c r="R50" s="16">
        <f>VALUE('عمرو عصام الدين'!R8)</f>
        <v>0</v>
      </c>
      <c r="S50" s="16">
        <f>VALUE('عمرو عصام الدين'!S8)</f>
        <v>0</v>
      </c>
      <c r="T50" s="16">
        <f>VALUE('عمرو عصام الدين'!T8)</f>
        <v>0</v>
      </c>
      <c r="U50" s="16">
        <f>VALUE('عمرو عصام الدين'!U8)</f>
        <v>0</v>
      </c>
      <c r="V50" s="16">
        <f>VALUE('عمرو عصام الدين'!V8)</f>
        <v>0</v>
      </c>
      <c r="W50" s="16">
        <f>VALUE('عمرو عصام الدين'!W8)</f>
        <v>0</v>
      </c>
      <c r="X50" s="16">
        <f>VALUE('عمرو عصام الدين'!X8)</f>
        <v>0</v>
      </c>
      <c r="Y50" s="16">
        <f>VALUE('عمرو عصام الدين'!Y8)</f>
        <v>0</v>
      </c>
      <c r="Z50" s="16">
        <f>SUM('عمرو عصام الدين'!Z8:AB8)</f>
        <v>0</v>
      </c>
      <c r="AA50" s="16">
        <f>VALUE('عمرو عصام الدين'!AC8)</f>
        <v>0</v>
      </c>
      <c r="AB50" s="16">
        <f t="shared" si="56"/>
        <v>0</v>
      </c>
      <c r="AC50" s="16">
        <f t="shared" si="57"/>
        <v>0</v>
      </c>
      <c r="AD50" s="71"/>
      <c r="AE50" s="64"/>
    </row>
    <row r="51" spans="1:31" ht="15" customHeight="1" thickBot="1">
      <c r="A51" s="69" t="s">
        <v>86</v>
      </c>
      <c r="B51" s="19" t="s">
        <v>41</v>
      </c>
      <c r="C51" s="19">
        <f>VALUE('حمزة محمد عاشور'!C6)</f>
        <v>2</v>
      </c>
      <c r="D51" s="19">
        <f>VALUE('حمزة محمد عاشور'!D6)</f>
        <v>6</v>
      </c>
      <c r="E51" s="19">
        <f>VALUE('حمزة محمد عاشور'!E6)</f>
        <v>2</v>
      </c>
      <c r="F51" s="19">
        <f>VALUE('حمزة محمد عاشور'!F6)</f>
        <v>0</v>
      </c>
      <c r="G51" s="19">
        <f>VALUE('حمزة محمد عاشور'!G6)</f>
        <v>0</v>
      </c>
      <c r="H51" s="19">
        <f>VALUE('حمزة محمد عاشور'!H6)</f>
        <v>0</v>
      </c>
      <c r="I51" s="19">
        <f>VALUE('حمزة محمد عاشور'!I6)</f>
        <v>0</v>
      </c>
      <c r="J51" s="19">
        <f>VALUE('حمزة محمد عاشور'!J6)</f>
        <v>0</v>
      </c>
      <c r="K51" s="19">
        <f>VALUE('حمزة محمد عاشور'!K6)</f>
        <v>0</v>
      </c>
      <c r="L51" s="19">
        <f>VALUE('حمزة محمد عاشور'!L6)</f>
        <v>0</v>
      </c>
      <c r="M51" s="19">
        <f>VALUE('حمزة محمد عاشور'!M6)</f>
        <v>0</v>
      </c>
      <c r="N51" s="19">
        <f>VALUE('حمزة محمد عاشور'!N6)</f>
        <v>0</v>
      </c>
      <c r="O51" s="19">
        <f>VALUE('حمزة محمد عاشور'!O6)</f>
        <v>0</v>
      </c>
      <c r="P51" s="19">
        <f>VALUE('حمزة محمد عاشور'!P6)</f>
        <v>1</v>
      </c>
      <c r="Q51" s="19">
        <f>VALUE('حمزة محمد عاشور'!Q6)</f>
        <v>0</v>
      </c>
      <c r="R51" s="19">
        <f>VALUE('حمزة محمد عاشور'!R6)</f>
        <v>0</v>
      </c>
      <c r="S51" s="19">
        <f>VALUE('حمزة محمد عاشور'!S6)</f>
        <v>0</v>
      </c>
      <c r="T51" s="19">
        <f>VALUE('حمزة محمد عاشور'!T6)</f>
        <v>0</v>
      </c>
      <c r="U51" s="19">
        <f>VALUE('حمزة محمد عاشور'!U6)</f>
        <v>0</v>
      </c>
      <c r="V51" s="19">
        <f>VALUE('حمزة محمد عاشور'!V6)</f>
        <v>15</v>
      </c>
      <c r="W51" s="19">
        <f>VALUE('حمزة محمد عاشور'!W6)</f>
        <v>2</v>
      </c>
      <c r="X51" s="19">
        <f>VALUE('حمزة محمد عاشور'!X6)</f>
        <v>0</v>
      </c>
      <c r="Y51" s="19">
        <f>VALUE('حمزة محمد عاشور'!Y6)</f>
        <v>0</v>
      </c>
      <c r="Z51" s="19">
        <f>SUM('حمزة محمد عاشور'!Z6:AB6)</f>
        <v>0</v>
      </c>
      <c r="AA51" s="19">
        <f>VALUE('حمزة محمد عاشور'!AC6)</f>
        <v>0</v>
      </c>
      <c r="AB51" s="19">
        <f>SUM(C51:AA51)</f>
        <v>28</v>
      </c>
      <c r="AC51" s="19">
        <f>SUM(J51:U51)</f>
        <v>1</v>
      </c>
      <c r="AD51" s="71">
        <f t="shared" ref="AD51" si="58">SUM(AC51:AC53)</f>
        <v>1</v>
      </c>
      <c r="AE51" s="64">
        <f t="shared" ref="AE51" si="59">SUM(C51:U53)+W51+W52+W53</f>
        <v>13</v>
      </c>
    </row>
    <row r="52" spans="1:31" ht="15" customHeight="1" thickBot="1">
      <c r="A52" s="69"/>
      <c r="B52" s="13" t="s">
        <v>42</v>
      </c>
      <c r="C52" s="13">
        <f>VALUE('حمزة محمد عاشور'!C7)</f>
        <v>0</v>
      </c>
      <c r="D52" s="13">
        <f>VALUE('حمزة محمد عاشور'!D7)</f>
        <v>0</v>
      </c>
      <c r="E52" s="13">
        <f>VALUE('حمزة محمد عاشور'!E7)</f>
        <v>0</v>
      </c>
      <c r="F52" s="13">
        <f>VALUE('حمزة محمد عاشور'!F7)</f>
        <v>0</v>
      </c>
      <c r="G52" s="13">
        <f>VALUE('حمزة محمد عاشور'!G7)</f>
        <v>0</v>
      </c>
      <c r="H52" s="13">
        <f>VALUE('حمزة محمد عاشور'!H7)</f>
        <v>0</v>
      </c>
      <c r="I52" s="13">
        <f>VALUE('حمزة محمد عاشور'!I7)</f>
        <v>0</v>
      </c>
      <c r="J52" s="13">
        <f>VALUE('حمزة محمد عاشور'!J7)</f>
        <v>0</v>
      </c>
      <c r="K52" s="13">
        <f>VALUE('حمزة محمد عاشور'!K7)</f>
        <v>0</v>
      </c>
      <c r="L52" s="13">
        <f>VALUE('حمزة محمد عاشور'!L7)</f>
        <v>0</v>
      </c>
      <c r="M52" s="13">
        <f>VALUE('حمزة محمد عاشور'!M7)</f>
        <v>0</v>
      </c>
      <c r="N52" s="13">
        <f>VALUE('حمزة محمد عاشور'!N7)</f>
        <v>0</v>
      </c>
      <c r="O52" s="13">
        <f>VALUE('حمزة محمد عاشور'!O7)</f>
        <v>0</v>
      </c>
      <c r="P52" s="13">
        <f>VALUE('حمزة محمد عاشور'!P7)</f>
        <v>0</v>
      </c>
      <c r="Q52" s="13">
        <f>VALUE('حمزة محمد عاشور'!Q7)</f>
        <v>0</v>
      </c>
      <c r="R52" s="13">
        <f>VALUE('حمزة محمد عاشور'!R7)</f>
        <v>0</v>
      </c>
      <c r="S52" s="13">
        <f>VALUE('حمزة محمد عاشور'!S7)</f>
        <v>0</v>
      </c>
      <c r="T52" s="13">
        <f>VALUE('حمزة محمد عاشور'!T7)</f>
        <v>0</v>
      </c>
      <c r="U52" s="13">
        <f>VALUE('حمزة محمد عاشور'!U7)</f>
        <v>0</v>
      </c>
      <c r="V52" s="13">
        <f>VALUE('حمزة محمد عاشور'!V7)</f>
        <v>0</v>
      </c>
      <c r="W52" s="13">
        <f>VALUE('حمزة محمد عاشور'!W7)</f>
        <v>0</v>
      </c>
      <c r="X52" s="13">
        <f>VALUE('حمزة محمد عاشور'!X7)</f>
        <v>0</v>
      </c>
      <c r="Y52" s="13">
        <f>VALUE('حمزة محمد عاشور'!Y7)</f>
        <v>0</v>
      </c>
      <c r="Z52" s="20">
        <f>SUM('حمزة محمد عاشور'!Z7:AB7)</f>
        <v>0</v>
      </c>
      <c r="AA52" s="13">
        <f>VALUE('حمزة محمد عاشور'!AC7)</f>
        <v>0</v>
      </c>
      <c r="AB52" s="13">
        <f t="shared" ref="AB52:AB53" si="60">SUM(C52:AA52)</f>
        <v>0</v>
      </c>
      <c r="AC52" s="13">
        <f t="shared" ref="AC52:AC53" si="61">SUM(J52:U52)</f>
        <v>0</v>
      </c>
      <c r="AD52" s="71"/>
      <c r="AE52" s="64"/>
    </row>
    <row r="53" spans="1:31" ht="15" customHeight="1" thickBot="1">
      <c r="A53" s="69"/>
      <c r="B53" s="16" t="s">
        <v>43</v>
      </c>
      <c r="C53" s="21">
        <f>VALUE('حمزة محمد عاشور'!C8)</f>
        <v>0</v>
      </c>
      <c r="D53" s="21">
        <f>VALUE('حمزة محمد عاشور'!D8)</f>
        <v>0</v>
      </c>
      <c r="E53" s="21">
        <f>VALUE('حمزة محمد عاشور'!E8)</f>
        <v>0</v>
      </c>
      <c r="F53" s="21">
        <f>VALUE('حمزة محمد عاشور'!F8)</f>
        <v>0</v>
      </c>
      <c r="G53" s="21">
        <f>VALUE('حمزة محمد عاشور'!G8)</f>
        <v>0</v>
      </c>
      <c r="H53" s="21">
        <f>VALUE('حمزة محمد عاشور'!H8)</f>
        <v>0</v>
      </c>
      <c r="I53" s="21">
        <f>VALUE('حمزة محمد عاشور'!I8)</f>
        <v>0</v>
      </c>
      <c r="J53" s="21">
        <f>VALUE('حمزة محمد عاشور'!J8)</f>
        <v>0</v>
      </c>
      <c r="K53" s="21">
        <f>VALUE('حمزة محمد عاشور'!K8)</f>
        <v>0</v>
      </c>
      <c r="L53" s="21">
        <f>VALUE('حمزة محمد عاشور'!L8)</f>
        <v>0</v>
      </c>
      <c r="M53" s="21">
        <f>VALUE('حمزة محمد عاشور'!M8)</f>
        <v>0</v>
      </c>
      <c r="N53" s="21">
        <f>VALUE('حمزة محمد عاشور'!N8)</f>
        <v>0</v>
      </c>
      <c r="O53" s="21">
        <f>VALUE('حمزة محمد عاشور'!O8)</f>
        <v>0</v>
      </c>
      <c r="P53" s="21">
        <f>VALUE('حمزة محمد عاشور'!P8)</f>
        <v>0</v>
      </c>
      <c r="Q53" s="21">
        <f>VALUE('حمزة محمد عاشور'!Q8)</f>
        <v>0</v>
      </c>
      <c r="R53" s="21">
        <f>VALUE('حمزة محمد عاشور'!R8)</f>
        <v>0</v>
      </c>
      <c r="S53" s="21">
        <f>VALUE('حمزة محمد عاشور'!S8)</f>
        <v>0</v>
      </c>
      <c r="T53" s="21">
        <f>VALUE('حمزة محمد عاشور'!T8)</f>
        <v>0</v>
      </c>
      <c r="U53" s="21">
        <f>VALUE('حمزة محمد عاشور'!U8)</f>
        <v>0</v>
      </c>
      <c r="V53" s="21">
        <f>VALUE('حمزة محمد عاشور'!V8)</f>
        <v>0</v>
      </c>
      <c r="W53" s="21">
        <f>VALUE('حمزة محمد عاشور'!W8)</f>
        <v>0</v>
      </c>
      <c r="X53" s="21">
        <f>VALUE('حمزة محمد عاشور'!X8)</f>
        <v>0</v>
      </c>
      <c r="Y53" s="21">
        <f>VALUE('حمزة محمد عاشور'!Y8)</f>
        <v>0</v>
      </c>
      <c r="Z53" s="16">
        <f>SUM('حمزة محمد عاشور'!Z8:AB8)</f>
        <v>1</v>
      </c>
      <c r="AA53" s="21">
        <f>VALUE('حمزة محمد عاشور'!AC8)</f>
        <v>0</v>
      </c>
      <c r="AB53" s="21">
        <f t="shared" si="60"/>
        <v>1</v>
      </c>
      <c r="AC53" s="21">
        <f t="shared" si="61"/>
        <v>0</v>
      </c>
      <c r="AD53" s="71"/>
      <c r="AE53" s="64"/>
    </row>
    <row r="54" spans="1:31" ht="15" customHeight="1" thickBot="1">
      <c r="A54" s="69" t="s">
        <v>87</v>
      </c>
      <c r="B54" s="19" t="s">
        <v>41</v>
      </c>
      <c r="C54" s="19">
        <f>VALUE('تقي ياسر محمد'!C6)</f>
        <v>0</v>
      </c>
      <c r="D54" s="19">
        <f>VALUE('تقي ياسر محمد'!D6)</f>
        <v>2</v>
      </c>
      <c r="E54" s="19">
        <f>VALUE('تقي ياسر محمد'!E6)</f>
        <v>0</v>
      </c>
      <c r="F54" s="19">
        <f>VALUE('تقي ياسر محمد'!F6)</f>
        <v>0</v>
      </c>
      <c r="G54" s="19">
        <f>VALUE('تقي ياسر محمد'!G6)</f>
        <v>0</v>
      </c>
      <c r="H54" s="19">
        <f>VALUE('تقي ياسر محمد'!H6)</f>
        <v>0</v>
      </c>
      <c r="I54" s="19">
        <f>VALUE('تقي ياسر محمد'!I6)</f>
        <v>0</v>
      </c>
      <c r="J54" s="19">
        <f>VALUE('تقي ياسر محمد'!J6)</f>
        <v>1</v>
      </c>
      <c r="K54" s="19">
        <f>VALUE('تقي ياسر محمد'!K6)</f>
        <v>0</v>
      </c>
      <c r="L54" s="19">
        <f>VALUE('تقي ياسر محمد'!L6)</f>
        <v>0</v>
      </c>
      <c r="M54" s="19">
        <f>VALUE('تقي ياسر محمد'!M6)</f>
        <v>0</v>
      </c>
      <c r="N54" s="19">
        <f>VALUE('تقي ياسر محمد'!N6)</f>
        <v>0</v>
      </c>
      <c r="O54" s="19">
        <f>VALUE('تقي ياسر محمد'!O6)</f>
        <v>0</v>
      </c>
      <c r="P54" s="19">
        <f>VALUE('تقي ياسر محمد'!P6)</f>
        <v>0</v>
      </c>
      <c r="Q54" s="19">
        <f>VALUE('تقي ياسر محمد'!Q6)</f>
        <v>0</v>
      </c>
      <c r="R54" s="19">
        <f>VALUE('تقي ياسر محمد'!R6)</f>
        <v>0</v>
      </c>
      <c r="S54" s="19">
        <f>VALUE('تقي ياسر محمد'!S6)</f>
        <v>0</v>
      </c>
      <c r="T54" s="19">
        <f>VALUE('تقي ياسر محمد'!T6)</f>
        <v>1</v>
      </c>
      <c r="U54" s="19">
        <f>VALUE('تقي ياسر محمد'!U6)</f>
        <v>1</v>
      </c>
      <c r="V54" s="19">
        <f>VALUE('تقي ياسر محمد'!V6)</f>
        <v>5</v>
      </c>
      <c r="W54" s="19">
        <f>VALUE('تقي ياسر محمد'!W6)</f>
        <v>1</v>
      </c>
      <c r="X54" s="19">
        <f>VALUE('تقي ياسر محمد'!X6)</f>
        <v>0</v>
      </c>
      <c r="Y54" s="19">
        <f>VALUE('تقي ياسر محمد'!Y6)</f>
        <v>0</v>
      </c>
      <c r="Z54" s="19">
        <f>SUM('تقي ياسر محمد'!Z6:AB6)</f>
        <v>0</v>
      </c>
      <c r="AA54" s="19">
        <f>VALUE('تقي ياسر محمد'!AC6)</f>
        <v>0</v>
      </c>
      <c r="AB54" s="19">
        <f>SUM(C54:AA54)</f>
        <v>11</v>
      </c>
      <c r="AC54" s="19">
        <f>SUM(J54:U54)</f>
        <v>3</v>
      </c>
      <c r="AD54" s="71">
        <f t="shared" ref="AD54" si="62">SUM(AC54:AC56)</f>
        <v>3</v>
      </c>
      <c r="AE54" s="64">
        <f t="shared" ref="AE54" si="63">SUM(C54:U56)+W54+W55+W56</f>
        <v>6</v>
      </c>
    </row>
    <row r="55" spans="1:31" ht="15" customHeight="1" thickBot="1">
      <c r="A55" s="69"/>
      <c r="B55" s="13" t="s">
        <v>42</v>
      </c>
      <c r="C55" s="20">
        <f>VALUE('تقي ياسر محمد'!C7)</f>
        <v>0</v>
      </c>
      <c r="D55" s="20">
        <f>VALUE('تقي ياسر محمد'!D7)</f>
        <v>0</v>
      </c>
      <c r="E55" s="20">
        <f>VALUE('تقي ياسر محمد'!E7)</f>
        <v>0</v>
      </c>
      <c r="F55" s="20">
        <f>VALUE('تقي ياسر محمد'!F7)</f>
        <v>0</v>
      </c>
      <c r="G55" s="20">
        <f>VALUE('تقي ياسر محمد'!G7)</f>
        <v>0</v>
      </c>
      <c r="H55" s="20">
        <f>VALUE('تقي ياسر محمد'!H7)</f>
        <v>0</v>
      </c>
      <c r="I55" s="20">
        <f>VALUE('تقي ياسر محمد'!I7)</f>
        <v>0</v>
      </c>
      <c r="J55" s="20">
        <f>VALUE('تقي ياسر محمد'!J7)</f>
        <v>0</v>
      </c>
      <c r="K55" s="20">
        <f>VALUE('تقي ياسر محمد'!K7)</f>
        <v>0</v>
      </c>
      <c r="L55" s="20">
        <f>VALUE('تقي ياسر محمد'!L7)</f>
        <v>0</v>
      </c>
      <c r="M55" s="20">
        <f>VALUE('تقي ياسر محمد'!M7)</f>
        <v>0</v>
      </c>
      <c r="N55" s="20">
        <f>VALUE('تقي ياسر محمد'!N7)</f>
        <v>0</v>
      </c>
      <c r="O55" s="20">
        <f>VALUE('تقي ياسر محمد'!O7)</f>
        <v>0</v>
      </c>
      <c r="P55" s="20">
        <f>VALUE('تقي ياسر محمد'!P7)</f>
        <v>0</v>
      </c>
      <c r="Q55" s="20">
        <f>VALUE('تقي ياسر محمد'!Q7)</f>
        <v>0</v>
      </c>
      <c r="R55" s="20">
        <f>VALUE('تقي ياسر محمد'!R7)</f>
        <v>0</v>
      </c>
      <c r="S55" s="20">
        <f>VALUE('تقي ياسر محمد'!S7)</f>
        <v>0</v>
      </c>
      <c r="T55" s="20">
        <f>VALUE('تقي ياسر محمد'!T7)</f>
        <v>0</v>
      </c>
      <c r="U55" s="20">
        <f>VALUE('تقي ياسر محمد'!U7)</f>
        <v>0</v>
      </c>
      <c r="V55" s="20">
        <f>VALUE('تقي ياسر محمد'!V7)</f>
        <v>0</v>
      </c>
      <c r="W55" s="20">
        <f>VALUE('تقي ياسر محمد'!W7)</f>
        <v>0</v>
      </c>
      <c r="X55" s="20">
        <f>VALUE('تقي ياسر محمد'!X7)</f>
        <v>0</v>
      </c>
      <c r="Y55" s="20">
        <f>VALUE('تقي ياسر محمد'!Y7)</f>
        <v>0</v>
      </c>
      <c r="Z55" s="20">
        <f>SUM('تقي ياسر محمد'!Z7:AB7)</f>
        <v>0</v>
      </c>
      <c r="AA55" s="20">
        <f>VALUE('تقي ياسر محمد'!AC7)</f>
        <v>0</v>
      </c>
      <c r="AB55" s="13">
        <f t="shared" ref="AB55:AB56" si="64">SUM(C55:AA55)</f>
        <v>0</v>
      </c>
      <c r="AC55" s="13">
        <f t="shared" ref="AC55:AC56" si="65">SUM(J55:U55)</f>
        <v>0</v>
      </c>
      <c r="AD55" s="71"/>
      <c r="AE55" s="64"/>
    </row>
    <row r="56" spans="1:31" ht="15" customHeight="1" thickBot="1">
      <c r="A56" s="69"/>
      <c r="B56" s="15" t="s">
        <v>43</v>
      </c>
      <c r="C56" s="22">
        <f>VALUE('تقي ياسر محمد'!C8)</f>
        <v>0</v>
      </c>
      <c r="D56" s="22">
        <f>VALUE('تقي ياسر محمد'!D8)</f>
        <v>0</v>
      </c>
      <c r="E56" s="22">
        <f>VALUE('تقي ياسر محمد'!E8)</f>
        <v>0</v>
      </c>
      <c r="F56" s="22">
        <f>VALUE('تقي ياسر محمد'!F8)</f>
        <v>0</v>
      </c>
      <c r="G56" s="22">
        <f>VALUE('تقي ياسر محمد'!G8)</f>
        <v>0</v>
      </c>
      <c r="H56" s="22">
        <f>VALUE('تقي ياسر محمد'!H8)</f>
        <v>0</v>
      </c>
      <c r="I56" s="22">
        <f>VALUE('تقي ياسر محمد'!I8)</f>
        <v>0</v>
      </c>
      <c r="J56" s="22">
        <f>VALUE('تقي ياسر محمد'!J8)</f>
        <v>0</v>
      </c>
      <c r="K56" s="22">
        <f>VALUE('تقي ياسر محمد'!K8)</f>
        <v>0</v>
      </c>
      <c r="L56" s="22">
        <f>VALUE('تقي ياسر محمد'!L8)</f>
        <v>0</v>
      </c>
      <c r="M56" s="22">
        <f>VALUE('تقي ياسر محمد'!M8)</f>
        <v>0</v>
      </c>
      <c r="N56" s="22">
        <f>VALUE('تقي ياسر محمد'!N8)</f>
        <v>0</v>
      </c>
      <c r="O56" s="22">
        <f>VALUE('تقي ياسر محمد'!O8)</f>
        <v>0</v>
      </c>
      <c r="P56" s="22">
        <f>VALUE('تقي ياسر محمد'!P8)</f>
        <v>0</v>
      </c>
      <c r="Q56" s="22">
        <f>VALUE('تقي ياسر محمد'!Q8)</f>
        <v>0</v>
      </c>
      <c r="R56" s="22">
        <f>VALUE('تقي ياسر محمد'!R8)</f>
        <v>0</v>
      </c>
      <c r="S56" s="22">
        <f>VALUE('تقي ياسر محمد'!S8)</f>
        <v>0</v>
      </c>
      <c r="T56" s="22">
        <f>VALUE('تقي ياسر محمد'!T8)</f>
        <v>0</v>
      </c>
      <c r="U56" s="22">
        <f>VALUE('تقي ياسر محمد'!U8)</f>
        <v>0</v>
      </c>
      <c r="V56" s="22">
        <f>VALUE('تقي ياسر محمد'!V8)</f>
        <v>0</v>
      </c>
      <c r="W56" s="22">
        <f>VALUE('تقي ياسر محمد'!W8)</f>
        <v>0</v>
      </c>
      <c r="X56" s="22">
        <f>VALUE('تقي ياسر محمد'!X8)</f>
        <v>0</v>
      </c>
      <c r="Y56" s="22">
        <f>VALUE('تقي ياسر محمد'!Y8)</f>
        <v>0</v>
      </c>
      <c r="Z56" s="16">
        <f>SUM('تقي ياسر محمد'!Z8:AB8)</f>
        <v>1</v>
      </c>
      <c r="AA56" s="22">
        <f>VALUE('تقي ياسر محمد'!AC8)</f>
        <v>0</v>
      </c>
      <c r="AB56" s="15">
        <f t="shared" si="64"/>
        <v>1</v>
      </c>
      <c r="AC56" s="15">
        <f t="shared" si="65"/>
        <v>0</v>
      </c>
      <c r="AD56" s="71"/>
      <c r="AE56" s="64"/>
    </row>
    <row r="57" spans="1:31" ht="15" thickBot="1">
      <c r="A57" s="69" t="s">
        <v>78</v>
      </c>
      <c r="B57" s="18" t="s">
        <v>41</v>
      </c>
      <c r="C57" s="18">
        <f>VALUE('سعد مرشد حنا'!C6)</f>
        <v>0</v>
      </c>
      <c r="D57" s="18">
        <f>VALUE('سعد مرشد حنا'!D6)</f>
        <v>7</v>
      </c>
      <c r="E57" s="18">
        <f>VALUE('سعد مرشد حنا'!E6)</f>
        <v>0</v>
      </c>
      <c r="F57" s="18">
        <f>VALUE('سعد مرشد حنا'!F6)</f>
        <v>0</v>
      </c>
      <c r="G57" s="18">
        <f>VALUE('سعد مرشد حنا'!G6)</f>
        <v>0</v>
      </c>
      <c r="H57" s="18">
        <f>VALUE('سعد مرشد حنا'!H6)</f>
        <v>1</v>
      </c>
      <c r="I57" s="18">
        <f>VALUE('سعد مرشد حنا'!I6)</f>
        <v>0</v>
      </c>
      <c r="J57" s="18">
        <f>VALUE('سعد مرشد حنا'!J6)</f>
        <v>0</v>
      </c>
      <c r="K57" s="18">
        <f>VALUE('سعد مرشد حنا'!K6)</f>
        <v>0</v>
      </c>
      <c r="L57" s="18">
        <f>VALUE('سعد مرشد حنا'!L6)</f>
        <v>0</v>
      </c>
      <c r="M57" s="18">
        <f>VALUE('سعد مرشد حنا'!M6)</f>
        <v>1</v>
      </c>
      <c r="N57" s="18">
        <f>VALUE('سعد مرشد حنا'!N6)</f>
        <v>0</v>
      </c>
      <c r="O57" s="18">
        <f>VALUE('سعد مرشد حنا'!O6)</f>
        <v>0</v>
      </c>
      <c r="P57" s="18">
        <f>VALUE('سعد مرشد حنا'!P6)</f>
        <v>3</v>
      </c>
      <c r="Q57" s="18">
        <f>VALUE('سعد مرشد حنا'!Q6)</f>
        <v>1</v>
      </c>
      <c r="R57" s="18">
        <f>VALUE('سعد مرشد حنا'!R6)</f>
        <v>0</v>
      </c>
      <c r="S57" s="18">
        <f>VALUE('سعد مرشد حنا'!S6)</f>
        <v>1</v>
      </c>
      <c r="T57" s="18">
        <f>VALUE('سعد مرشد حنا'!T6)</f>
        <v>1</v>
      </c>
      <c r="U57" s="18">
        <f>VALUE('سعد مرشد حنا'!U6)</f>
        <v>1</v>
      </c>
      <c r="V57" s="18">
        <f>VALUE('سعد مرشد حنا'!V6)</f>
        <v>28</v>
      </c>
      <c r="W57" s="18">
        <f>VALUE('سعد مرشد حنا'!W6)</f>
        <v>1</v>
      </c>
      <c r="X57" s="18">
        <f>VALUE('سعد مرشد حنا'!X6)</f>
        <v>4</v>
      </c>
      <c r="Y57" s="18">
        <f>VALUE('سعد مرشد حنا'!Y6)</f>
        <v>0</v>
      </c>
      <c r="Z57" s="61">
        <f>SUM('سعد مرشد حنا'!Z6:AB6)</f>
        <v>0</v>
      </c>
      <c r="AA57" s="18">
        <f>VALUE('سعد مرشد حنا'!AC6)</f>
        <v>0</v>
      </c>
      <c r="AB57" s="18">
        <f>SUM(C57:AA57)</f>
        <v>49</v>
      </c>
      <c r="AC57" s="18">
        <f>SUM(J57:U57)</f>
        <v>8</v>
      </c>
      <c r="AD57" s="71">
        <f t="shared" ref="AD57" si="66">SUM(AC57:AC59)</f>
        <v>8</v>
      </c>
      <c r="AE57" s="64">
        <f t="shared" ref="AE57" si="67">SUM(C57:U59)+W57+W58+W59</f>
        <v>17</v>
      </c>
    </row>
    <row r="58" spans="1:31" ht="15" thickBot="1">
      <c r="A58" s="69"/>
      <c r="B58" s="13" t="s">
        <v>42</v>
      </c>
      <c r="C58" s="13">
        <f>VALUE('سعد مرشد حنا'!C7)</f>
        <v>0</v>
      </c>
      <c r="D58" s="13">
        <f>VALUE('سعد مرشد حنا'!D7)</f>
        <v>0</v>
      </c>
      <c r="E58" s="13">
        <f>VALUE('سعد مرشد حنا'!E7)</f>
        <v>0</v>
      </c>
      <c r="F58" s="13">
        <f>VALUE('سعد مرشد حنا'!F7)</f>
        <v>0</v>
      </c>
      <c r="G58" s="13">
        <f>VALUE('سعد مرشد حنا'!G7)</f>
        <v>0</v>
      </c>
      <c r="H58" s="13">
        <f>VALUE('سعد مرشد حنا'!H7)</f>
        <v>0</v>
      </c>
      <c r="I58" s="13">
        <f>VALUE('سعد مرشد حنا'!I7)</f>
        <v>0</v>
      </c>
      <c r="J58" s="13">
        <f>VALUE('سعد مرشد حنا'!J7)</f>
        <v>0</v>
      </c>
      <c r="K58" s="13">
        <f>VALUE('سعد مرشد حنا'!K7)</f>
        <v>0</v>
      </c>
      <c r="L58" s="13">
        <f>VALUE('سعد مرشد حنا'!L7)</f>
        <v>0</v>
      </c>
      <c r="M58" s="13">
        <f>VALUE('سعد مرشد حنا'!M7)</f>
        <v>0</v>
      </c>
      <c r="N58" s="13">
        <f>VALUE('سعد مرشد حنا'!N7)</f>
        <v>0</v>
      </c>
      <c r="O58" s="13">
        <f>VALUE('سعد مرشد حنا'!O7)</f>
        <v>0</v>
      </c>
      <c r="P58" s="13">
        <f>VALUE('سعد مرشد حنا'!P7)</f>
        <v>0</v>
      </c>
      <c r="Q58" s="13">
        <f>VALUE('سعد مرشد حنا'!Q7)</f>
        <v>0</v>
      </c>
      <c r="R58" s="13">
        <f>VALUE('سعد مرشد حنا'!R7)</f>
        <v>0</v>
      </c>
      <c r="S58" s="13">
        <f>VALUE('سعد مرشد حنا'!S7)</f>
        <v>0</v>
      </c>
      <c r="T58" s="13">
        <f>VALUE('سعد مرشد حنا'!T7)</f>
        <v>0</v>
      </c>
      <c r="U58" s="13">
        <f>VALUE('سعد مرشد حنا'!U7)</f>
        <v>0</v>
      </c>
      <c r="V58" s="13">
        <f>VALUE('سعد مرشد حنا'!V7)</f>
        <v>0</v>
      </c>
      <c r="W58" s="13">
        <f>VALUE('سعد مرشد حنا'!W7)</f>
        <v>0</v>
      </c>
      <c r="X58" s="13">
        <f>VALUE('سعد مرشد حنا'!X7)</f>
        <v>0</v>
      </c>
      <c r="Y58" s="13">
        <f>VALUE('سعد مرشد حنا'!Y7)</f>
        <v>0</v>
      </c>
      <c r="Z58" s="13">
        <f>SUM('سعد مرشد حنا'!Z7:AB7)</f>
        <v>0</v>
      </c>
      <c r="AA58" s="13">
        <f>VALUE('سعد مرشد حنا'!AC7)</f>
        <v>0</v>
      </c>
      <c r="AB58" s="13">
        <f t="shared" ref="AB58:AB59" si="68">SUM(C58:AA58)</f>
        <v>0</v>
      </c>
      <c r="AC58" s="13">
        <f t="shared" ref="AC58:AC59" si="69">SUM(J58:U58)</f>
        <v>0</v>
      </c>
      <c r="AD58" s="71"/>
      <c r="AE58" s="64"/>
    </row>
    <row r="59" spans="1:31" ht="15" thickBot="1">
      <c r="A59" s="69"/>
      <c r="B59" s="15" t="s">
        <v>43</v>
      </c>
      <c r="C59" s="15">
        <f>VALUE('سعد مرشد حنا'!C8)</f>
        <v>0</v>
      </c>
      <c r="D59" s="15">
        <f>VALUE('سعد مرشد حنا'!D8)</f>
        <v>0</v>
      </c>
      <c r="E59" s="15">
        <f>VALUE('سعد مرشد حنا'!E8)</f>
        <v>0</v>
      </c>
      <c r="F59" s="15">
        <f>VALUE('سعد مرشد حنا'!F8)</f>
        <v>0</v>
      </c>
      <c r="G59" s="15">
        <f>VALUE('سعد مرشد حنا'!G8)</f>
        <v>0</v>
      </c>
      <c r="H59" s="15">
        <f>VALUE('سعد مرشد حنا'!H8)</f>
        <v>0</v>
      </c>
      <c r="I59" s="15">
        <f>VALUE('سعد مرشد حنا'!I8)</f>
        <v>0</v>
      </c>
      <c r="J59" s="15">
        <f>VALUE('سعد مرشد حنا'!J8)</f>
        <v>0</v>
      </c>
      <c r="K59" s="15">
        <f>VALUE('سعد مرشد حنا'!K8)</f>
        <v>0</v>
      </c>
      <c r="L59" s="15">
        <f>VALUE('سعد مرشد حنا'!L8)</f>
        <v>0</v>
      </c>
      <c r="M59" s="15">
        <f>VALUE('سعد مرشد حنا'!M8)</f>
        <v>0</v>
      </c>
      <c r="N59" s="15">
        <f>VALUE('سعد مرشد حنا'!N8)</f>
        <v>0</v>
      </c>
      <c r="O59" s="15">
        <f>VALUE('سعد مرشد حنا'!O8)</f>
        <v>0</v>
      </c>
      <c r="P59" s="15">
        <f>VALUE('سعد مرشد حنا'!P8)</f>
        <v>0</v>
      </c>
      <c r="Q59" s="15">
        <f>VALUE('سعد مرشد حنا'!Q8)</f>
        <v>0</v>
      </c>
      <c r="R59" s="15">
        <f>VALUE('سعد مرشد حنا'!R8)</f>
        <v>0</v>
      </c>
      <c r="S59" s="15">
        <f>VALUE('سعد مرشد حنا'!S8)</f>
        <v>0</v>
      </c>
      <c r="T59" s="15">
        <f>VALUE('سعد مرشد حنا'!T8)</f>
        <v>0</v>
      </c>
      <c r="U59" s="15">
        <f>VALUE('سعد مرشد حنا'!U8)</f>
        <v>0</v>
      </c>
      <c r="V59" s="15">
        <f>VALUE('سعد مرشد حنا'!V8)</f>
        <v>0</v>
      </c>
      <c r="W59" s="15">
        <f>VALUE('سعد مرشد حنا'!W8)</f>
        <v>0</v>
      </c>
      <c r="X59" s="15">
        <f>VALUE('سعد مرشد حنا'!X8)</f>
        <v>0</v>
      </c>
      <c r="Y59" s="15">
        <f>VALUE('سعد مرشد حنا'!Y8)</f>
        <v>0</v>
      </c>
      <c r="Z59" s="62">
        <f>SUM('سعد مرشد حنا'!Z8:AB8)</f>
        <v>0</v>
      </c>
      <c r="AA59" s="15">
        <f>VALUE('سعد مرشد حنا'!AC8)</f>
        <v>0</v>
      </c>
      <c r="AB59" s="15">
        <f t="shared" si="68"/>
        <v>0</v>
      </c>
      <c r="AC59" s="15">
        <f t="shared" si="69"/>
        <v>0</v>
      </c>
      <c r="AD59" s="71"/>
      <c r="AE59" s="64"/>
    </row>
    <row r="60" spans="1:31" ht="15" thickBot="1">
      <c r="A60" s="69" t="s">
        <v>83</v>
      </c>
      <c r="B60" s="18" t="s">
        <v>41</v>
      </c>
      <c r="C60" s="18">
        <f>VALUE('هالة رشدي'!C6)</f>
        <v>2</v>
      </c>
      <c r="D60" s="18">
        <f>VALUE('هالة رشدي'!D6)</f>
        <v>4</v>
      </c>
      <c r="E60" s="18">
        <f>VALUE('هالة رشدي'!E6)</f>
        <v>0</v>
      </c>
      <c r="F60" s="18">
        <f>VALUE('هالة رشدي'!F6)</f>
        <v>0</v>
      </c>
      <c r="G60" s="18">
        <f>VALUE('هالة رشدي'!G6)</f>
        <v>0</v>
      </c>
      <c r="H60" s="18">
        <f>VALUE('هالة رشدي'!H6)</f>
        <v>1</v>
      </c>
      <c r="I60" s="18">
        <f>VALUE('هالة رشدي'!I6)</f>
        <v>0</v>
      </c>
      <c r="J60" s="18">
        <f>VALUE('هالة رشدي'!J6)</f>
        <v>0</v>
      </c>
      <c r="K60" s="18">
        <f>VALUE('هالة رشدي'!K6)</f>
        <v>0</v>
      </c>
      <c r="L60" s="18">
        <f>VALUE('هالة رشدي'!L6)</f>
        <v>0</v>
      </c>
      <c r="M60" s="18">
        <f>VALUE('هالة رشدي'!M6)</f>
        <v>0</v>
      </c>
      <c r="N60" s="18">
        <f>VALUE('هالة رشدي'!N6)</f>
        <v>0</v>
      </c>
      <c r="O60" s="18">
        <f>VALUE('هالة رشدي'!O6)</f>
        <v>0</v>
      </c>
      <c r="P60" s="18">
        <f>VALUE('هالة رشدي'!P6)</f>
        <v>4</v>
      </c>
      <c r="Q60" s="18">
        <f>VALUE('هالة رشدي'!Q6)</f>
        <v>0</v>
      </c>
      <c r="R60" s="18">
        <f>VALUE('هالة رشدي'!R6)</f>
        <v>1</v>
      </c>
      <c r="S60" s="18">
        <f>VALUE('هالة رشدي'!S6)</f>
        <v>1</v>
      </c>
      <c r="T60" s="18">
        <f>VALUE('هالة رشدي'!T6)</f>
        <v>1</v>
      </c>
      <c r="U60" s="18">
        <f>VALUE('هالة رشدي'!U6)</f>
        <v>0</v>
      </c>
      <c r="V60" s="18">
        <f>VALUE('هالة رشدي'!V6)</f>
        <v>12</v>
      </c>
      <c r="W60" s="18">
        <f>VALUE('هالة رشدي'!W6)</f>
        <v>0</v>
      </c>
      <c r="X60" s="18">
        <f>VALUE('هالة رشدي'!X6)</f>
        <v>5</v>
      </c>
      <c r="Y60" s="18">
        <f>VALUE('هالة رشدي'!Y6)</f>
        <v>0</v>
      </c>
      <c r="Z60" s="61">
        <f>SUM('هالة رشدي'!Z6:AB6)</f>
        <v>0</v>
      </c>
      <c r="AA60" s="18">
        <f>VALUE('هالة رشدي'!AC6)</f>
        <v>0</v>
      </c>
      <c r="AB60" s="18">
        <f>SUM(C60:AA60)</f>
        <v>31</v>
      </c>
      <c r="AC60" s="18">
        <f>SUM(J60:U60)</f>
        <v>7</v>
      </c>
      <c r="AD60" s="71">
        <f t="shared" ref="AD60" si="70">SUM(AC60:AC62)</f>
        <v>7</v>
      </c>
      <c r="AE60" s="64">
        <f t="shared" ref="AE60" si="71">SUM(C60:U62)+W60+W61+W62</f>
        <v>14</v>
      </c>
    </row>
    <row r="61" spans="1:31" ht="15" thickBot="1">
      <c r="A61" s="69"/>
      <c r="B61" s="13" t="s">
        <v>42</v>
      </c>
      <c r="C61" s="13">
        <f>VALUE('هالة رشدي'!C7)</f>
        <v>0</v>
      </c>
      <c r="D61" s="13">
        <f>VALUE('هالة رشدي'!D7)</f>
        <v>0</v>
      </c>
      <c r="E61" s="13">
        <f>VALUE('هالة رشدي'!E7)</f>
        <v>0</v>
      </c>
      <c r="F61" s="13">
        <f>VALUE('هالة رشدي'!F7)</f>
        <v>0</v>
      </c>
      <c r="G61" s="13">
        <f>VALUE('هالة رشدي'!G7)</f>
        <v>0</v>
      </c>
      <c r="H61" s="13">
        <f>VALUE('هالة رشدي'!H7)</f>
        <v>0</v>
      </c>
      <c r="I61" s="13">
        <f>VALUE('هالة رشدي'!I7)</f>
        <v>0</v>
      </c>
      <c r="J61" s="13">
        <f>VALUE('هالة رشدي'!J7)</f>
        <v>0</v>
      </c>
      <c r="K61" s="13">
        <f>VALUE('هالة رشدي'!K7)</f>
        <v>0</v>
      </c>
      <c r="L61" s="13">
        <f>VALUE('هالة رشدي'!L7)</f>
        <v>0</v>
      </c>
      <c r="M61" s="13">
        <f>VALUE('هالة رشدي'!M7)</f>
        <v>0</v>
      </c>
      <c r="N61" s="13">
        <f>VALUE('هالة رشدي'!N7)</f>
        <v>0</v>
      </c>
      <c r="O61" s="13">
        <f>VALUE('هالة رشدي'!O7)</f>
        <v>0</v>
      </c>
      <c r="P61" s="13">
        <f>VALUE('هالة رشدي'!P7)</f>
        <v>0</v>
      </c>
      <c r="Q61" s="13">
        <f>VALUE('هالة رشدي'!Q7)</f>
        <v>0</v>
      </c>
      <c r="R61" s="13">
        <f>VALUE('هالة رشدي'!R7)</f>
        <v>0</v>
      </c>
      <c r="S61" s="13">
        <f>VALUE('هالة رشدي'!S7)</f>
        <v>0</v>
      </c>
      <c r="T61" s="13">
        <f>VALUE('هالة رشدي'!T7)</f>
        <v>0</v>
      </c>
      <c r="U61" s="13">
        <f>VALUE('هالة رشدي'!U7)</f>
        <v>0</v>
      </c>
      <c r="V61" s="13">
        <f>VALUE('هالة رشدي'!V7)</f>
        <v>0</v>
      </c>
      <c r="W61" s="13">
        <f>VALUE('هالة رشدي'!W7)</f>
        <v>0</v>
      </c>
      <c r="X61" s="13">
        <f>VALUE('هالة رشدي'!X7)</f>
        <v>0</v>
      </c>
      <c r="Y61" s="13">
        <f>VALUE('هالة رشدي'!Y7)</f>
        <v>0</v>
      </c>
      <c r="Z61" s="13">
        <f>SUM('هالة رشدي'!Z7:AB7)</f>
        <v>0</v>
      </c>
      <c r="AA61" s="13">
        <f>VALUE('هالة رشدي'!AC7)</f>
        <v>0</v>
      </c>
      <c r="AB61" s="13">
        <f t="shared" ref="AB61:AB62" si="72">SUM(C61:AA61)</f>
        <v>0</v>
      </c>
      <c r="AC61" s="13">
        <f t="shared" ref="AC61:AC62" si="73">SUM(J61:U61)</f>
        <v>0</v>
      </c>
      <c r="AD61" s="71"/>
      <c r="AE61" s="64"/>
    </row>
    <row r="62" spans="1:31" ht="15" thickBot="1">
      <c r="A62" s="69"/>
      <c r="B62" s="16" t="s">
        <v>43</v>
      </c>
      <c r="C62" s="16">
        <f>VALUE('هالة رشدي'!C8)</f>
        <v>0</v>
      </c>
      <c r="D62" s="16">
        <f>VALUE('هالة رشدي'!D8)</f>
        <v>0</v>
      </c>
      <c r="E62" s="16">
        <f>VALUE('هالة رشدي'!E8)</f>
        <v>0</v>
      </c>
      <c r="F62" s="16">
        <f>VALUE('هالة رشدي'!F8)</f>
        <v>0</v>
      </c>
      <c r="G62" s="16">
        <f>VALUE('هالة رشدي'!G8)</f>
        <v>0</v>
      </c>
      <c r="H62" s="16">
        <f>VALUE('هالة رشدي'!H8)</f>
        <v>0</v>
      </c>
      <c r="I62" s="16">
        <f>VALUE('هالة رشدي'!I8)</f>
        <v>0</v>
      </c>
      <c r="J62" s="16">
        <f>VALUE('هالة رشدي'!J8)</f>
        <v>0</v>
      </c>
      <c r="K62" s="16">
        <f>VALUE('هالة رشدي'!K8)</f>
        <v>0</v>
      </c>
      <c r="L62" s="16">
        <f>VALUE('هالة رشدي'!L8)</f>
        <v>0</v>
      </c>
      <c r="M62" s="16">
        <f>VALUE('هالة رشدي'!M8)</f>
        <v>0</v>
      </c>
      <c r="N62" s="16">
        <f>VALUE('هالة رشدي'!N8)</f>
        <v>0</v>
      </c>
      <c r="O62" s="16">
        <f>VALUE('هالة رشدي'!O8)</f>
        <v>0</v>
      </c>
      <c r="P62" s="16">
        <f>VALUE('هالة رشدي'!P8)</f>
        <v>0</v>
      </c>
      <c r="Q62" s="16">
        <f>VALUE('هالة رشدي'!Q8)</f>
        <v>0</v>
      </c>
      <c r="R62" s="16">
        <f>VALUE('هالة رشدي'!R8)</f>
        <v>0</v>
      </c>
      <c r="S62" s="16">
        <f>VALUE('هالة رشدي'!S8)</f>
        <v>0</v>
      </c>
      <c r="T62" s="16">
        <f>VALUE('هالة رشدي'!T8)</f>
        <v>0</v>
      </c>
      <c r="U62" s="16">
        <f>VALUE('هالة رشدي'!U8)</f>
        <v>0</v>
      </c>
      <c r="V62" s="16">
        <f>VALUE('هالة رشدي'!V8)</f>
        <v>0</v>
      </c>
      <c r="W62" s="16">
        <f>VALUE('هالة رشدي'!W8)</f>
        <v>0</v>
      </c>
      <c r="X62" s="16">
        <f>VALUE('هالة رشدي'!X8)</f>
        <v>0</v>
      </c>
      <c r="Y62" s="16">
        <f>VALUE('هالة رشدي'!Y8)</f>
        <v>0</v>
      </c>
      <c r="Z62" s="62">
        <f>SUM('هالة رشدي'!Z8:AB8)</f>
        <v>10</v>
      </c>
      <c r="AA62" s="16">
        <f>VALUE('هالة رشدي'!AC8)</f>
        <v>0</v>
      </c>
      <c r="AB62" s="16">
        <f t="shared" si="72"/>
        <v>10</v>
      </c>
      <c r="AC62" s="16">
        <f t="shared" si="73"/>
        <v>0</v>
      </c>
      <c r="AD62" s="71"/>
      <c r="AE62" s="64"/>
    </row>
    <row r="63" spans="1:31" ht="14.5" hidden="1">
      <c r="A63" s="70"/>
      <c r="B63" s="19" t="s">
        <v>41</v>
      </c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>
        <f>SUM(C63:AA63)</f>
        <v>0</v>
      </c>
      <c r="AC63" s="19">
        <f>SUM(J63:U63)</f>
        <v>0</v>
      </c>
      <c r="AD63" s="71">
        <f t="shared" ref="AD63" si="74">SUM(AC63:AC65)</f>
        <v>0</v>
      </c>
      <c r="AE63" s="14"/>
    </row>
    <row r="64" spans="1:31" ht="14.5" hidden="1">
      <c r="A64" s="67"/>
      <c r="B64" s="13" t="s">
        <v>42</v>
      </c>
      <c r="C64" s="13"/>
      <c r="D64" s="13"/>
      <c r="E64" s="13"/>
      <c r="F64" s="13"/>
      <c r="G64" s="13"/>
      <c r="H64" s="14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>
        <f t="shared" ref="AB64:AB65" si="75">SUM(C64:AA64)</f>
        <v>0</v>
      </c>
      <c r="AC64" s="13">
        <f t="shared" ref="AC64:AC65" si="76">SUM(J64:U64)</f>
        <v>0</v>
      </c>
      <c r="AD64" s="71"/>
      <c r="AE64" s="14"/>
    </row>
    <row r="65" spans="1:31" ht="14.5" hidden="1">
      <c r="A65" s="67"/>
      <c r="B65" s="23" t="s">
        <v>43</v>
      </c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>
        <f t="shared" si="75"/>
        <v>0</v>
      </c>
      <c r="AC65" s="23">
        <f t="shared" si="76"/>
        <v>0</v>
      </c>
      <c r="AD65" s="71"/>
      <c r="AE65" s="14"/>
    </row>
    <row r="66" spans="1:31" ht="14.5" hidden="1">
      <c r="A66" s="67"/>
      <c r="B66" s="11" t="s">
        <v>41</v>
      </c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>
        <f>SUM(C66:AA66)</f>
        <v>0</v>
      </c>
      <c r="AC66" s="11">
        <f>SUM(J66:U66)</f>
        <v>0</v>
      </c>
      <c r="AD66" s="71">
        <f t="shared" ref="AD66" si="77">SUM(AC66:AC68)</f>
        <v>0</v>
      </c>
      <c r="AE66" s="14"/>
    </row>
    <row r="67" spans="1:31" ht="14.5" hidden="1">
      <c r="A67" s="67"/>
      <c r="B67" s="13" t="s">
        <v>42</v>
      </c>
      <c r="C67" s="13"/>
      <c r="D67" s="13"/>
      <c r="E67" s="13"/>
      <c r="F67" s="13"/>
      <c r="G67" s="13"/>
      <c r="H67" s="14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>
        <f t="shared" ref="AB67:AB68" si="78">SUM(C67:AA67)</f>
        <v>0</v>
      </c>
      <c r="AC67" s="13">
        <f t="shared" ref="AC67:AC68" si="79">SUM(J67:U67)</f>
        <v>0</v>
      </c>
      <c r="AD67" s="71"/>
      <c r="AE67" s="14"/>
    </row>
    <row r="68" spans="1:31" ht="14.5" hidden="1">
      <c r="A68" s="67"/>
      <c r="B68" s="23" t="s">
        <v>43</v>
      </c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>
        <f t="shared" si="78"/>
        <v>0</v>
      </c>
      <c r="AC68" s="23">
        <f t="shared" si="79"/>
        <v>0</v>
      </c>
      <c r="AD68" s="71"/>
      <c r="AE68" s="14"/>
    </row>
    <row r="69" spans="1:31" ht="14.5" hidden="1">
      <c r="A69" s="67"/>
      <c r="B69" s="11" t="s">
        <v>41</v>
      </c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>
        <f>SUM(C69:AA69)</f>
        <v>0</v>
      </c>
      <c r="AC69" s="11">
        <f>SUM(J69:U69)</f>
        <v>0</v>
      </c>
      <c r="AD69" s="71">
        <f t="shared" ref="AD69" si="80">SUM(AC69:AC71)</f>
        <v>0</v>
      </c>
      <c r="AE69" s="14"/>
    </row>
    <row r="70" spans="1:31" ht="14.5" hidden="1">
      <c r="A70" s="67"/>
      <c r="B70" s="11" t="s">
        <v>42</v>
      </c>
      <c r="C70" s="24"/>
      <c r="D70" s="11"/>
      <c r="E70" s="11"/>
      <c r="F70" s="11"/>
      <c r="G70" s="11"/>
      <c r="H70" s="25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>
        <f t="shared" ref="AB70:AB71" si="81">SUM(C70:AA70)</f>
        <v>0</v>
      </c>
      <c r="AC70" s="11">
        <f t="shared" ref="AC70:AC71" si="82">SUM(J70:U70)</f>
        <v>0</v>
      </c>
      <c r="AD70" s="71"/>
      <c r="AE70" s="14"/>
    </row>
    <row r="71" spans="1:31" ht="14.5" hidden="1">
      <c r="A71" s="67"/>
      <c r="B71" s="23" t="s">
        <v>43</v>
      </c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>
        <f t="shared" si="81"/>
        <v>0</v>
      </c>
      <c r="AC71" s="23">
        <f t="shared" si="82"/>
        <v>0</v>
      </c>
      <c r="AD71" s="71"/>
      <c r="AE71" s="14"/>
    </row>
    <row r="72" spans="1:31" ht="14.5" hidden="1">
      <c r="A72" s="67"/>
      <c r="B72" s="11" t="s">
        <v>41</v>
      </c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>
        <f>SUM(C72:AA72)</f>
        <v>0</v>
      </c>
      <c r="AC72" s="11">
        <f>SUM(J72:U72)</f>
        <v>0</v>
      </c>
      <c r="AD72" s="71">
        <f t="shared" ref="AD72" si="83">SUM(AC72:AC74)</f>
        <v>0</v>
      </c>
      <c r="AE72" s="14"/>
    </row>
    <row r="73" spans="1:31" ht="14.5" hidden="1">
      <c r="A73" s="67"/>
      <c r="B73" s="11" t="s">
        <v>42</v>
      </c>
      <c r="C73" s="24"/>
      <c r="D73" s="11"/>
      <c r="E73" s="11"/>
      <c r="F73" s="11"/>
      <c r="G73" s="11"/>
      <c r="H73" s="25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>
        <f t="shared" ref="AB73:AB74" si="84">SUM(C73:AA73)</f>
        <v>0</v>
      </c>
      <c r="AC73" s="11">
        <f t="shared" ref="AC73:AC74" si="85">SUM(J73:U73)</f>
        <v>0</v>
      </c>
      <c r="AD73" s="71"/>
      <c r="AE73" s="14"/>
    </row>
    <row r="74" spans="1:31" ht="14.5" hidden="1">
      <c r="A74" s="67"/>
      <c r="B74" s="23" t="s">
        <v>43</v>
      </c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>
        <f t="shared" si="84"/>
        <v>0</v>
      </c>
      <c r="AC74" s="23">
        <f t="shared" si="85"/>
        <v>0</v>
      </c>
      <c r="AD74" s="71"/>
      <c r="AE74" s="14"/>
    </row>
    <row r="75" spans="1:31" ht="14.5" hidden="1">
      <c r="A75" s="67"/>
      <c r="B75" s="11" t="s">
        <v>41</v>
      </c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>
        <f>SUM(C75:AA75)</f>
        <v>0</v>
      </c>
      <c r="AC75" s="11">
        <f>SUM(J75:U75)</f>
        <v>0</v>
      </c>
      <c r="AD75" s="71">
        <f t="shared" ref="AD75" si="86">SUM(AC75:AC77)</f>
        <v>0</v>
      </c>
      <c r="AE75" s="14"/>
    </row>
    <row r="76" spans="1:31" ht="14.5" hidden="1">
      <c r="A76" s="67"/>
      <c r="B76" s="11" t="s">
        <v>42</v>
      </c>
      <c r="C76" s="24"/>
      <c r="D76" s="11"/>
      <c r="E76" s="11"/>
      <c r="F76" s="11"/>
      <c r="G76" s="11"/>
      <c r="H76" s="25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>
        <f t="shared" ref="AB76:AB77" si="87">SUM(C76:AA76)</f>
        <v>0</v>
      </c>
      <c r="AC76" s="11">
        <f t="shared" ref="AC76:AC77" si="88">SUM(J76:U76)</f>
        <v>0</v>
      </c>
      <c r="AD76" s="71"/>
      <c r="AE76" s="14"/>
    </row>
    <row r="77" spans="1:31" ht="14.5" hidden="1">
      <c r="A77" s="67"/>
      <c r="B77" s="23" t="s">
        <v>43</v>
      </c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>
        <f t="shared" si="87"/>
        <v>0</v>
      </c>
      <c r="AC77" s="23">
        <f t="shared" si="88"/>
        <v>0</v>
      </c>
      <c r="AD77" s="71"/>
      <c r="AE77" s="14"/>
    </row>
    <row r="78" spans="1:31" ht="14.5" hidden="1">
      <c r="A78" s="67"/>
      <c r="B78" s="11" t="s">
        <v>41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>
        <f>SUM(C78:AA78)</f>
        <v>0</v>
      </c>
      <c r="AC78" s="11">
        <f>SUM(J78:U78)</f>
        <v>0</v>
      </c>
      <c r="AD78" s="71">
        <f t="shared" ref="AD78" si="89">SUM(AC78:AC80)</f>
        <v>0</v>
      </c>
      <c r="AE78" s="14"/>
    </row>
    <row r="79" spans="1:31" ht="14.5" hidden="1">
      <c r="A79" s="67"/>
      <c r="B79" s="11" t="s">
        <v>42</v>
      </c>
      <c r="C79" s="24"/>
      <c r="D79" s="11"/>
      <c r="E79" s="11"/>
      <c r="F79" s="11"/>
      <c r="G79" s="11"/>
      <c r="H79" s="25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>
        <f t="shared" ref="AB79:AB80" si="90">SUM(C79:AA79)</f>
        <v>0</v>
      </c>
      <c r="AC79" s="11">
        <f t="shared" ref="AC79:AC80" si="91">SUM(J79:U79)</f>
        <v>0</v>
      </c>
      <c r="AD79" s="71"/>
      <c r="AE79" s="14"/>
    </row>
    <row r="80" spans="1:31" ht="14.5" hidden="1">
      <c r="A80" s="67"/>
      <c r="B80" s="23" t="s">
        <v>43</v>
      </c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>
        <f t="shared" si="90"/>
        <v>0</v>
      </c>
      <c r="AC80" s="23">
        <f t="shared" si="91"/>
        <v>0</v>
      </c>
      <c r="AD80" s="71"/>
      <c r="AE80" s="14"/>
    </row>
    <row r="81" spans="1:31" ht="14.5" hidden="1">
      <c r="A81" s="67"/>
      <c r="B81" s="11" t="s">
        <v>41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>
        <f>SUM(C81:AA81)</f>
        <v>0</v>
      </c>
      <c r="AC81" s="11">
        <f>SUM(J81:U81)</f>
        <v>0</v>
      </c>
      <c r="AD81" s="71">
        <f t="shared" ref="AD81" si="92">SUM(AC81:AC83)</f>
        <v>0</v>
      </c>
      <c r="AE81" s="14"/>
    </row>
    <row r="82" spans="1:31" ht="14.5" hidden="1">
      <c r="A82" s="67"/>
      <c r="B82" s="11" t="s">
        <v>42</v>
      </c>
      <c r="C82" s="24"/>
      <c r="D82" s="11"/>
      <c r="E82" s="11"/>
      <c r="F82" s="11"/>
      <c r="G82" s="11"/>
      <c r="H82" s="25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>
        <f t="shared" ref="AB82:AB83" si="93">SUM(C82:AA82)</f>
        <v>0</v>
      </c>
      <c r="AC82" s="11">
        <f t="shared" ref="AC82:AC83" si="94">SUM(J82:U82)</f>
        <v>0</v>
      </c>
      <c r="AD82" s="71"/>
      <c r="AE82" s="14"/>
    </row>
    <row r="83" spans="1:31" ht="14.5" hidden="1">
      <c r="A83" s="67"/>
      <c r="B83" s="23" t="s">
        <v>43</v>
      </c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>
        <f t="shared" si="93"/>
        <v>0</v>
      </c>
      <c r="AC83" s="23">
        <f t="shared" si="94"/>
        <v>0</v>
      </c>
      <c r="AD83" s="71"/>
      <c r="AE83" s="14"/>
    </row>
    <row r="84" spans="1:31" ht="14.5" hidden="1">
      <c r="A84" s="67"/>
      <c r="B84" s="11" t="s">
        <v>41</v>
      </c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>
        <f>SUM(C84:AA84)</f>
        <v>0</v>
      </c>
      <c r="AC84" s="11">
        <f>SUM(J84:U84)</f>
        <v>0</v>
      </c>
      <c r="AD84" s="71">
        <f t="shared" ref="AD84" si="95">SUM(AC84:AC86)</f>
        <v>0</v>
      </c>
      <c r="AE84" s="14"/>
    </row>
    <row r="85" spans="1:31" ht="14.5" hidden="1">
      <c r="A85" s="67"/>
      <c r="B85" s="11" t="s">
        <v>42</v>
      </c>
      <c r="C85" s="24"/>
      <c r="D85" s="11"/>
      <c r="E85" s="11"/>
      <c r="F85" s="11"/>
      <c r="G85" s="11"/>
      <c r="H85" s="25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>
        <f t="shared" ref="AB85:AB86" si="96">SUM(C85:AA85)</f>
        <v>0</v>
      </c>
      <c r="AC85" s="11">
        <f t="shared" ref="AC85:AC86" si="97">SUM(J85:U85)</f>
        <v>0</v>
      </c>
      <c r="AD85" s="71"/>
      <c r="AE85" s="14"/>
    </row>
    <row r="86" spans="1:31" ht="14.5" hidden="1">
      <c r="A86" s="67"/>
      <c r="B86" s="23" t="s">
        <v>43</v>
      </c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>
        <f t="shared" si="96"/>
        <v>0</v>
      </c>
      <c r="AC86" s="23">
        <f t="shared" si="97"/>
        <v>0</v>
      </c>
      <c r="AD86" s="71"/>
      <c r="AE86" s="14"/>
    </row>
    <row r="87" spans="1:31" ht="14.5" hidden="1">
      <c r="A87" s="67"/>
      <c r="B87" s="11" t="s">
        <v>41</v>
      </c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>
        <f>SUM(C87:AA87)</f>
        <v>0</v>
      </c>
      <c r="AC87" s="11">
        <f>SUM(J87:U87)</f>
        <v>0</v>
      </c>
      <c r="AD87" s="71">
        <f t="shared" ref="AD87" si="98">SUM(AC87:AC89)</f>
        <v>0</v>
      </c>
      <c r="AE87" s="14"/>
    </row>
    <row r="88" spans="1:31" ht="14.5" hidden="1">
      <c r="A88" s="67"/>
      <c r="B88" s="11" t="s">
        <v>42</v>
      </c>
      <c r="C88" s="24"/>
      <c r="D88" s="11"/>
      <c r="E88" s="11"/>
      <c r="F88" s="11"/>
      <c r="G88" s="11"/>
      <c r="H88" s="25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>
        <f t="shared" ref="AB88:AB89" si="99">SUM(C88:AA88)</f>
        <v>0</v>
      </c>
      <c r="AC88" s="11">
        <f t="shared" ref="AC88:AC89" si="100">SUM(J88:U88)</f>
        <v>0</v>
      </c>
      <c r="AD88" s="71"/>
      <c r="AE88" s="14"/>
    </row>
    <row r="89" spans="1:31" ht="14.5" hidden="1">
      <c r="A89" s="67"/>
      <c r="B89" s="23" t="s">
        <v>43</v>
      </c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>
        <f t="shared" si="99"/>
        <v>0</v>
      </c>
      <c r="AC89" s="23">
        <f t="shared" si="100"/>
        <v>0</v>
      </c>
      <c r="AD89" s="71"/>
      <c r="AE89" s="14"/>
    </row>
    <row r="90" spans="1:31" ht="14.5" hidden="1">
      <c r="A90" s="67"/>
      <c r="B90" s="11" t="s">
        <v>41</v>
      </c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>
        <f>SUM(C90:AA90)</f>
        <v>0</v>
      </c>
      <c r="AC90" s="11">
        <f>SUM(J90:U90)</f>
        <v>0</v>
      </c>
      <c r="AD90" s="71">
        <f t="shared" ref="AD90" si="101">SUM(AC90:AC92)</f>
        <v>0</v>
      </c>
      <c r="AE90" s="14"/>
    </row>
    <row r="91" spans="1:31" ht="14.5" hidden="1">
      <c r="A91" s="67"/>
      <c r="B91" s="11" t="s">
        <v>42</v>
      </c>
      <c r="C91" s="24"/>
      <c r="D91" s="11"/>
      <c r="E91" s="11"/>
      <c r="F91" s="11"/>
      <c r="G91" s="11"/>
      <c r="H91" s="25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>
        <f t="shared" ref="AB91:AB92" si="102">SUM(C91:AA91)</f>
        <v>0</v>
      </c>
      <c r="AC91" s="11">
        <f t="shared" ref="AC91:AC92" si="103">SUM(J91:U91)</f>
        <v>0</v>
      </c>
      <c r="AD91" s="71"/>
      <c r="AE91" s="14"/>
    </row>
    <row r="92" spans="1:31" ht="14.5" hidden="1">
      <c r="A92" s="67"/>
      <c r="B92" s="23" t="s">
        <v>43</v>
      </c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>
        <f t="shared" si="102"/>
        <v>0</v>
      </c>
      <c r="AC92" s="23">
        <f t="shared" si="103"/>
        <v>0</v>
      </c>
      <c r="AD92" s="71"/>
      <c r="AE92" s="14"/>
    </row>
    <row r="93" spans="1:31" ht="14.5" hidden="1">
      <c r="A93" s="67"/>
      <c r="B93" s="11" t="s">
        <v>41</v>
      </c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>
        <f>SUM(C93:AA93)</f>
        <v>0</v>
      </c>
      <c r="AC93" s="11">
        <f>SUM(J93:U93)</f>
        <v>0</v>
      </c>
      <c r="AD93" s="71">
        <f t="shared" ref="AD93" si="104">SUM(AC93:AC95)</f>
        <v>0</v>
      </c>
      <c r="AE93" s="14"/>
    </row>
    <row r="94" spans="1:31" ht="14.5" hidden="1">
      <c r="A94" s="67"/>
      <c r="B94" s="11" t="s">
        <v>42</v>
      </c>
      <c r="C94" s="24"/>
      <c r="D94" s="11"/>
      <c r="E94" s="11"/>
      <c r="F94" s="11"/>
      <c r="G94" s="11"/>
      <c r="H94" s="25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>
        <f t="shared" ref="AB94:AB95" si="105">SUM(C94:AA94)</f>
        <v>0</v>
      </c>
      <c r="AC94" s="11">
        <f t="shared" ref="AC94:AC95" si="106">SUM(J94:U94)</f>
        <v>0</v>
      </c>
      <c r="AD94" s="71"/>
      <c r="AE94" s="14"/>
    </row>
    <row r="95" spans="1:31" ht="14.5" hidden="1">
      <c r="A95" s="67"/>
      <c r="B95" s="23" t="s">
        <v>43</v>
      </c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>
        <f t="shared" si="105"/>
        <v>0</v>
      </c>
      <c r="AC95" s="23">
        <f t="shared" si="106"/>
        <v>0</v>
      </c>
      <c r="AD95" s="71"/>
      <c r="AE95" s="14"/>
    </row>
    <row r="96" spans="1:31" ht="14.5" hidden="1">
      <c r="A96" s="67"/>
      <c r="B96" s="11" t="s">
        <v>41</v>
      </c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>
        <f>SUM(C96:AA96)</f>
        <v>0</v>
      </c>
      <c r="AC96" s="11">
        <f>SUM(J96:U96)</f>
        <v>0</v>
      </c>
      <c r="AD96" s="71">
        <f t="shared" ref="AD96" si="107">SUM(AC96:AC98)</f>
        <v>0</v>
      </c>
      <c r="AE96" s="14"/>
    </row>
    <row r="97" spans="1:31" ht="14.5" hidden="1">
      <c r="A97" s="67"/>
      <c r="B97" s="11" t="s">
        <v>42</v>
      </c>
      <c r="C97" s="24"/>
      <c r="D97" s="11"/>
      <c r="E97" s="11"/>
      <c r="F97" s="11"/>
      <c r="G97" s="11"/>
      <c r="H97" s="25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>
        <f t="shared" ref="AB97:AB98" si="108">SUM(C97:AA97)</f>
        <v>0</v>
      </c>
      <c r="AC97" s="11">
        <f t="shared" ref="AC97:AC98" si="109">SUM(J97:U97)</f>
        <v>0</v>
      </c>
      <c r="AD97" s="71"/>
      <c r="AE97" s="14"/>
    </row>
    <row r="98" spans="1:31" ht="14.5" hidden="1">
      <c r="A98" s="67"/>
      <c r="B98" s="23" t="s">
        <v>43</v>
      </c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>
        <f t="shared" si="108"/>
        <v>0</v>
      </c>
      <c r="AC98" s="23">
        <f t="shared" si="109"/>
        <v>0</v>
      </c>
      <c r="AD98" s="71"/>
      <c r="AE98" s="14"/>
    </row>
    <row r="99" spans="1:31" ht="14.5" hidden="1">
      <c r="A99" s="67"/>
      <c r="B99" s="11" t="s">
        <v>41</v>
      </c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>
        <f>SUM(C99:AA99)</f>
        <v>0</v>
      </c>
      <c r="AC99" s="11">
        <f>SUM(J99:U99)</f>
        <v>0</v>
      </c>
      <c r="AD99" s="71">
        <f t="shared" ref="AD99" si="110">SUM(AC99:AC101)</f>
        <v>0</v>
      </c>
      <c r="AE99" s="14"/>
    </row>
    <row r="100" spans="1:31" ht="14.5" hidden="1">
      <c r="A100" s="67"/>
      <c r="B100" s="11" t="s">
        <v>42</v>
      </c>
      <c r="C100" s="24"/>
      <c r="D100" s="11"/>
      <c r="E100" s="11"/>
      <c r="F100" s="11"/>
      <c r="G100" s="11"/>
      <c r="H100" s="25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>
        <f t="shared" ref="AB100:AB101" si="111">SUM(C100:AA100)</f>
        <v>0</v>
      </c>
      <c r="AC100" s="11">
        <f t="shared" ref="AC100:AC101" si="112">SUM(J100:U100)</f>
        <v>0</v>
      </c>
      <c r="AD100" s="71"/>
      <c r="AE100" s="14"/>
    </row>
    <row r="101" spans="1:31" ht="14.5" hidden="1">
      <c r="A101" s="67"/>
      <c r="B101" s="23" t="s">
        <v>43</v>
      </c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>
        <f t="shared" si="111"/>
        <v>0</v>
      </c>
      <c r="AC101" s="23">
        <f t="shared" si="112"/>
        <v>0</v>
      </c>
      <c r="AD101" s="71"/>
      <c r="AE101" s="14"/>
    </row>
    <row r="102" spans="1:31" ht="14.5" hidden="1">
      <c r="A102" s="67"/>
      <c r="B102" s="11" t="s">
        <v>41</v>
      </c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>
        <f>SUM(C102:AA102)</f>
        <v>0</v>
      </c>
      <c r="AC102" s="11">
        <f>SUM(J102:U102)</f>
        <v>0</v>
      </c>
      <c r="AD102" s="71">
        <f t="shared" ref="AD102" si="113">SUM(AC102:AC104)</f>
        <v>0</v>
      </c>
      <c r="AE102" s="14"/>
    </row>
    <row r="103" spans="1:31" ht="14.5" hidden="1">
      <c r="A103" s="67"/>
      <c r="B103" s="11" t="s">
        <v>42</v>
      </c>
      <c r="C103" s="24"/>
      <c r="D103" s="11"/>
      <c r="E103" s="11"/>
      <c r="F103" s="11"/>
      <c r="G103" s="11"/>
      <c r="H103" s="25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>
        <f t="shared" ref="AB103:AB104" si="114">SUM(C103:AA103)</f>
        <v>0</v>
      </c>
      <c r="AC103" s="11">
        <f t="shared" ref="AC103:AC104" si="115">SUM(J103:U103)</f>
        <v>0</v>
      </c>
      <c r="AD103" s="71"/>
      <c r="AE103" s="14"/>
    </row>
    <row r="104" spans="1:31" ht="14.5" hidden="1">
      <c r="A104" s="67"/>
      <c r="B104" s="23" t="s">
        <v>43</v>
      </c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>
        <f t="shared" si="114"/>
        <v>0</v>
      </c>
      <c r="AC104" s="23">
        <f t="shared" si="115"/>
        <v>0</v>
      </c>
      <c r="AD104" s="71"/>
      <c r="AE104" s="14"/>
    </row>
    <row r="105" spans="1:31" ht="14.5" hidden="1">
      <c r="A105" s="67"/>
      <c r="B105" s="11" t="s">
        <v>41</v>
      </c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>
        <f>SUM(C105:AA105)</f>
        <v>0</v>
      </c>
      <c r="AC105" s="11">
        <f>SUM(J105:U105)</f>
        <v>0</v>
      </c>
      <c r="AD105" s="71">
        <f t="shared" ref="AD105" si="116">SUM(AC105:AC107)</f>
        <v>0</v>
      </c>
      <c r="AE105" s="14"/>
    </row>
    <row r="106" spans="1:31" ht="14.5" hidden="1">
      <c r="A106" s="67"/>
      <c r="B106" s="11" t="s">
        <v>42</v>
      </c>
      <c r="C106" s="24"/>
      <c r="D106" s="11"/>
      <c r="E106" s="11"/>
      <c r="F106" s="11"/>
      <c r="G106" s="11"/>
      <c r="H106" s="25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>
        <f t="shared" ref="AB106:AB107" si="117">SUM(C106:AA106)</f>
        <v>0</v>
      </c>
      <c r="AC106" s="11">
        <f t="shared" ref="AC106:AC107" si="118">SUM(J106:U106)</f>
        <v>0</v>
      </c>
      <c r="AD106" s="71"/>
      <c r="AE106" s="14"/>
    </row>
    <row r="107" spans="1:31" ht="14.5" hidden="1">
      <c r="A107" s="67"/>
      <c r="B107" s="23" t="s">
        <v>43</v>
      </c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>
        <f t="shared" si="117"/>
        <v>0</v>
      </c>
      <c r="AC107" s="23">
        <f t="shared" si="118"/>
        <v>0</v>
      </c>
      <c r="AD107" s="71"/>
      <c r="AE107" s="14"/>
    </row>
    <row r="108" spans="1:31" ht="14.5" hidden="1">
      <c r="A108" s="67"/>
      <c r="B108" s="11" t="s">
        <v>41</v>
      </c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>
        <f>SUM(C108:AA108)</f>
        <v>0</v>
      </c>
      <c r="AC108" s="11">
        <f>SUM(J108:U108)</f>
        <v>0</v>
      </c>
      <c r="AD108" s="71">
        <f t="shared" ref="AD108" si="119">SUM(AC108:AC110)</f>
        <v>0</v>
      </c>
      <c r="AE108" s="14"/>
    </row>
    <row r="109" spans="1:31" ht="14.5" hidden="1">
      <c r="A109" s="67"/>
      <c r="B109" s="11" t="s">
        <v>42</v>
      </c>
      <c r="C109" s="24"/>
      <c r="D109" s="11"/>
      <c r="E109" s="11"/>
      <c r="F109" s="11"/>
      <c r="G109" s="11"/>
      <c r="H109" s="25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>
        <f t="shared" ref="AB109:AB110" si="120">SUM(C109:AA109)</f>
        <v>0</v>
      </c>
      <c r="AC109" s="11">
        <f t="shared" ref="AC109:AC110" si="121">SUM(J109:U109)</f>
        <v>0</v>
      </c>
      <c r="AD109" s="71"/>
      <c r="AE109" s="14"/>
    </row>
    <row r="110" spans="1:31" ht="14.5" hidden="1">
      <c r="A110" s="67"/>
      <c r="B110" s="23" t="s">
        <v>43</v>
      </c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>
        <f t="shared" si="120"/>
        <v>0</v>
      </c>
      <c r="AC110" s="23">
        <f t="shared" si="121"/>
        <v>0</v>
      </c>
      <c r="AD110" s="71"/>
      <c r="AE110" s="14"/>
    </row>
    <row r="111" spans="1:31" ht="14.5" hidden="1">
      <c r="A111" s="67"/>
      <c r="B111" s="11" t="s">
        <v>41</v>
      </c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>
        <f>SUM(C111:AA111)</f>
        <v>0</v>
      </c>
      <c r="AC111" s="11">
        <f>SUM(J111:U111)</f>
        <v>0</v>
      </c>
      <c r="AD111" s="71">
        <f t="shared" ref="AD111" si="122">SUM(AC111:AC113)</f>
        <v>0</v>
      </c>
      <c r="AE111" s="14"/>
    </row>
    <row r="112" spans="1:31" ht="14.5" hidden="1">
      <c r="A112" s="67"/>
      <c r="B112" s="11" t="s">
        <v>42</v>
      </c>
      <c r="C112" s="24"/>
      <c r="D112" s="11"/>
      <c r="E112" s="11"/>
      <c r="F112" s="11"/>
      <c r="G112" s="11"/>
      <c r="H112" s="25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>
        <f t="shared" ref="AB112:AB113" si="123">SUM(C112:AA112)</f>
        <v>0</v>
      </c>
      <c r="AC112" s="11">
        <f t="shared" ref="AC112:AC113" si="124">SUM(J112:U112)</f>
        <v>0</v>
      </c>
      <c r="AD112" s="71"/>
      <c r="AE112" s="14"/>
    </row>
    <row r="113" spans="1:31" ht="14.5" hidden="1">
      <c r="A113" s="67"/>
      <c r="B113" s="23" t="s">
        <v>43</v>
      </c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>
        <f t="shared" si="123"/>
        <v>0</v>
      </c>
      <c r="AC113" s="23">
        <f t="shared" si="124"/>
        <v>0</v>
      </c>
      <c r="AD113" s="71"/>
      <c r="AE113" s="14"/>
    </row>
    <row r="114" spans="1:31" ht="14.5" hidden="1">
      <c r="A114" s="67"/>
      <c r="B114" s="11" t="s">
        <v>41</v>
      </c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>
        <f>SUM(C114:AA114)</f>
        <v>0</v>
      </c>
      <c r="AC114" s="11">
        <f>SUM(J114:U114)</f>
        <v>0</v>
      </c>
      <c r="AD114" s="71">
        <f t="shared" ref="AD114" si="125">SUM(AC114:AC116)</f>
        <v>0</v>
      </c>
      <c r="AE114" s="14"/>
    </row>
    <row r="115" spans="1:31" ht="14.5" hidden="1">
      <c r="A115" s="67"/>
      <c r="B115" s="11" t="s">
        <v>42</v>
      </c>
      <c r="C115" s="24"/>
      <c r="D115" s="11"/>
      <c r="E115" s="11"/>
      <c r="F115" s="11"/>
      <c r="G115" s="11"/>
      <c r="H115" s="25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>
        <f t="shared" ref="AB115:AB116" si="126">SUM(C115:AA115)</f>
        <v>0</v>
      </c>
      <c r="AC115" s="11">
        <f t="shared" ref="AC115:AC116" si="127">SUM(J115:U115)</f>
        <v>0</v>
      </c>
      <c r="AD115" s="71"/>
      <c r="AE115" s="14"/>
    </row>
    <row r="116" spans="1:31" ht="14.5" hidden="1">
      <c r="A116" s="67"/>
      <c r="B116" s="23" t="s">
        <v>43</v>
      </c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>
        <f t="shared" si="126"/>
        <v>0</v>
      </c>
      <c r="AC116" s="23">
        <f t="shared" si="127"/>
        <v>0</v>
      </c>
      <c r="AD116" s="71"/>
      <c r="AE116" s="14"/>
    </row>
    <row r="117" spans="1:31" ht="14.5" hidden="1">
      <c r="A117" s="67"/>
      <c r="B117" s="11" t="s">
        <v>41</v>
      </c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>
        <f>SUM(C117:AA117)</f>
        <v>0</v>
      </c>
      <c r="AC117" s="11">
        <f>SUM(J117:U117)</f>
        <v>0</v>
      </c>
      <c r="AD117" s="71">
        <f t="shared" ref="AD117" si="128">SUM(AC117:AC119)</f>
        <v>0</v>
      </c>
      <c r="AE117" s="14"/>
    </row>
    <row r="118" spans="1:31" ht="14.5" hidden="1">
      <c r="A118" s="67"/>
      <c r="B118" s="11" t="s">
        <v>42</v>
      </c>
      <c r="C118" s="24"/>
      <c r="D118" s="11"/>
      <c r="E118" s="11"/>
      <c r="F118" s="11"/>
      <c r="G118" s="11"/>
      <c r="H118" s="25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>
        <f t="shared" ref="AB118:AB119" si="129">SUM(C118:AA118)</f>
        <v>0</v>
      </c>
      <c r="AC118" s="11">
        <f t="shared" ref="AC118:AC119" si="130">SUM(J118:U118)</f>
        <v>0</v>
      </c>
      <c r="AD118" s="71"/>
      <c r="AE118" s="14"/>
    </row>
    <row r="119" spans="1:31" ht="14.5" hidden="1">
      <c r="A119" s="67"/>
      <c r="B119" s="23" t="s">
        <v>43</v>
      </c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>
        <f t="shared" si="129"/>
        <v>0</v>
      </c>
      <c r="AC119" s="23">
        <f t="shared" si="130"/>
        <v>0</v>
      </c>
      <c r="AD119" s="71"/>
      <c r="AE119" s="14"/>
    </row>
    <row r="120" spans="1:31" ht="14.5" hidden="1">
      <c r="A120" s="67"/>
      <c r="B120" s="11" t="s">
        <v>41</v>
      </c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>
        <f>SUM(C120:AA120)</f>
        <v>0</v>
      </c>
      <c r="AC120" s="11">
        <f>SUM(J120:U120)</f>
        <v>0</v>
      </c>
      <c r="AD120" s="71">
        <f t="shared" ref="AD120" si="131">SUM(AC120:AC122)</f>
        <v>0</v>
      </c>
      <c r="AE120" s="14"/>
    </row>
    <row r="121" spans="1:31" ht="14.5" hidden="1">
      <c r="A121" s="67"/>
      <c r="B121" s="11" t="s">
        <v>42</v>
      </c>
      <c r="C121" s="24"/>
      <c r="D121" s="11"/>
      <c r="E121" s="11"/>
      <c r="F121" s="11"/>
      <c r="G121" s="11"/>
      <c r="H121" s="25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>
        <f t="shared" ref="AB121:AB122" si="132">SUM(C121:AA121)</f>
        <v>0</v>
      </c>
      <c r="AC121" s="11">
        <f t="shared" ref="AC121:AC122" si="133">SUM(J121:U121)</f>
        <v>0</v>
      </c>
      <c r="AD121" s="71"/>
      <c r="AE121" s="14"/>
    </row>
    <row r="122" spans="1:31" ht="14.5" hidden="1">
      <c r="A122" s="67"/>
      <c r="B122" s="23" t="s">
        <v>43</v>
      </c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>
        <f t="shared" si="132"/>
        <v>0</v>
      </c>
      <c r="AC122" s="23">
        <f t="shared" si="133"/>
        <v>0</v>
      </c>
      <c r="AD122" s="71"/>
      <c r="AE122" s="14"/>
    </row>
    <row r="123" spans="1:31" ht="14.5" hidden="1">
      <c r="A123" s="67"/>
      <c r="B123" s="11" t="s">
        <v>41</v>
      </c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>
        <f>SUM(C123:AA123)</f>
        <v>0</v>
      </c>
      <c r="AC123" s="11">
        <f>SUM(J123:U123)</f>
        <v>0</v>
      </c>
      <c r="AD123" s="71">
        <f t="shared" ref="AD123" si="134">SUM(AC123:AC125)</f>
        <v>0</v>
      </c>
      <c r="AE123" s="14"/>
    </row>
    <row r="124" spans="1:31" ht="14.5" hidden="1">
      <c r="A124" s="67"/>
      <c r="B124" s="11" t="s">
        <v>42</v>
      </c>
      <c r="C124" s="24"/>
      <c r="D124" s="11"/>
      <c r="E124" s="11"/>
      <c r="F124" s="11"/>
      <c r="G124" s="11"/>
      <c r="H124" s="25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>
        <f t="shared" ref="AB124:AB125" si="135">SUM(C124:AA124)</f>
        <v>0</v>
      </c>
      <c r="AC124" s="11">
        <f t="shared" ref="AC124:AC125" si="136">SUM(J124:U124)</f>
        <v>0</v>
      </c>
      <c r="AD124" s="71"/>
      <c r="AE124" s="14"/>
    </row>
    <row r="125" spans="1:31" ht="14.5" hidden="1">
      <c r="A125" s="67"/>
      <c r="B125" s="23" t="s">
        <v>43</v>
      </c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>
        <f t="shared" si="135"/>
        <v>0</v>
      </c>
      <c r="AC125" s="23">
        <f t="shared" si="136"/>
        <v>0</v>
      </c>
      <c r="AD125" s="71"/>
      <c r="AE125" s="14"/>
    </row>
    <row r="126" spans="1:31" ht="14.5" hidden="1">
      <c r="A126" s="67"/>
      <c r="B126" s="11" t="s">
        <v>41</v>
      </c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>
        <f>SUM(C126:AA126)</f>
        <v>0</v>
      </c>
      <c r="AC126" s="11">
        <f>SUM(J126:U126)</f>
        <v>0</v>
      </c>
      <c r="AD126" s="71">
        <f t="shared" ref="AD126" si="137">SUM(AC126:AC128)</f>
        <v>0</v>
      </c>
      <c r="AE126" s="14"/>
    </row>
    <row r="127" spans="1:31" ht="14.5" hidden="1">
      <c r="A127" s="67"/>
      <c r="B127" s="11" t="s">
        <v>42</v>
      </c>
      <c r="C127" s="24"/>
      <c r="D127" s="11"/>
      <c r="E127" s="11"/>
      <c r="F127" s="11"/>
      <c r="G127" s="11"/>
      <c r="H127" s="25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>
        <f t="shared" ref="AB127:AB128" si="138">SUM(C127:AA127)</f>
        <v>0</v>
      </c>
      <c r="AC127" s="11">
        <f t="shared" ref="AC127:AC128" si="139">SUM(J127:U127)</f>
        <v>0</v>
      </c>
      <c r="AD127" s="71"/>
      <c r="AE127" s="14"/>
    </row>
    <row r="128" spans="1:31" ht="14.5" hidden="1">
      <c r="A128" s="67"/>
      <c r="B128" s="23" t="s">
        <v>43</v>
      </c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>
        <f t="shared" si="138"/>
        <v>0</v>
      </c>
      <c r="AC128" s="23">
        <f t="shared" si="139"/>
        <v>0</v>
      </c>
      <c r="AD128" s="71"/>
      <c r="AE128" s="14"/>
    </row>
    <row r="129" spans="1:31" ht="14.5" hidden="1">
      <c r="A129" s="67"/>
      <c r="B129" s="11" t="s">
        <v>41</v>
      </c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>
        <f>SUM(C129:AA129)</f>
        <v>0</v>
      </c>
      <c r="AC129" s="11">
        <f>SUM(J129:U129)</f>
        <v>0</v>
      </c>
      <c r="AD129" s="71">
        <f t="shared" ref="AD129" si="140">SUM(AC129:AC131)</f>
        <v>0</v>
      </c>
      <c r="AE129" s="14"/>
    </row>
    <row r="130" spans="1:31" ht="14.5" hidden="1">
      <c r="A130" s="67"/>
      <c r="B130" s="11" t="s">
        <v>42</v>
      </c>
      <c r="C130" s="24"/>
      <c r="D130" s="11"/>
      <c r="E130" s="11"/>
      <c r="F130" s="11"/>
      <c r="G130" s="11"/>
      <c r="H130" s="25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>
        <f t="shared" ref="AB130:AB131" si="141">SUM(C130:AA130)</f>
        <v>0</v>
      </c>
      <c r="AC130" s="11">
        <f t="shared" ref="AC130:AC131" si="142">SUM(J130:U130)</f>
        <v>0</v>
      </c>
      <c r="AD130" s="71"/>
      <c r="AE130" s="14"/>
    </row>
    <row r="131" spans="1:31" ht="14.5" hidden="1">
      <c r="A131" s="67"/>
      <c r="B131" s="23" t="s">
        <v>43</v>
      </c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>
        <f t="shared" si="141"/>
        <v>0</v>
      </c>
      <c r="AC131" s="23">
        <f t="shared" si="142"/>
        <v>0</v>
      </c>
      <c r="AD131" s="71"/>
      <c r="AE131" s="14"/>
    </row>
    <row r="132" spans="1:31" ht="14.5" hidden="1">
      <c r="A132" s="67"/>
      <c r="B132" s="11" t="s">
        <v>41</v>
      </c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>
        <f>SUM(C132:AA132)</f>
        <v>0</v>
      </c>
      <c r="AC132" s="11">
        <f>SUM(J132:U132)</f>
        <v>0</v>
      </c>
      <c r="AD132" s="71">
        <f t="shared" ref="AD132" si="143">SUM(AC132:AC134)</f>
        <v>0</v>
      </c>
      <c r="AE132" s="14"/>
    </row>
    <row r="133" spans="1:31" ht="14.5" hidden="1">
      <c r="A133" s="67"/>
      <c r="B133" s="11" t="s">
        <v>42</v>
      </c>
      <c r="C133" s="24"/>
      <c r="D133" s="11"/>
      <c r="E133" s="11"/>
      <c r="F133" s="11"/>
      <c r="G133" s="11"/>
      <c r="H133" s="25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>
        <f t="shared" ref="AB133:AB134" si="144">SUM(C133:AA133)</f>
        <v>0</v>
      </c>
      <c r="AC133" s="11">
        <f t="shared" ref="AC133:AC134" si="145">SUM(J133:U133)</f>
        <v>0</v>
      </c>
      <c r="AD133" s="71"/>
      <c r="AE133" s="14"/>
    </row>
    <row r="134" spans="1:31" ht="14.5" hidden="1">
      <c r="A134" s="67"/>
      <c r="B134" s="23" t="s">
        <v>43</v>
      </c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>
        <f t="shared" si="144"/>
        <v>0</v>
      </c>
      <c r="AC134" s="23">
        <f t="shared" si="145"/>
        <v>0</v>
      </c>
      <c r="AD134" s="71"/>
      <c r="AE134" s="14"/>
    </row>
    <row r="135" spans="1:31" ht="14.5" hidden="1">
      <c r="A135" s="67"/>
      <c r="B135" s="11" t="s">
        <v>41</v>
      </c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>
        <f>SUM(C135:AA135)</f>
        <v>0</v>
      </c>
      <c r="AC135" s="11">
        <f>SUM(J135:U135)</f>
        <v>0</v>
      </c>
      <c r="AD135" s="71">
        <f t="shared" ref="AD135" si="146">SUM(AC135:AC137)</f>
        <v>0</v>
      </c>
      <c r="AE135" s="14"/>
    </row>
    <row r="136" spans="1:31" ht="14.5" hidden="1">
      <c r="A136" s="67"/>
      <c r="B136" s="11" t="s">
        <v>42</v>
      </c>
      <c r="C136" s="24"/>
      <c r="D136" s="11"/>
      <c r="E136" s="11"/>
      <c r="F136" s="11"/>
      <c r="G136" s="11"/>
      <c r="H136" s="25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>
        <f t="shared" ref="AB136:AB137" si="147">SUM(C136:AA136)</f>
        <v>0</v>
      </c>
      <c r="AC136" s="11">
        <f t="shared" ref="AC136:AC137" si="148">SUM(J136:U136)</f>
        <v>0</v>
      </c>
      <c r="AD136" s="71"/>
      <c r="AE136" s="14"/>
    </row>
    <row r="137" spans="1:31" ht="14.5" hidden="1">
      <c r="A137" s="67"/>
      <c r="B137" s="23" t="s">
        <v>43</v>
      </c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>
        <f t="shared" si="147"/>
        <v>0</v>
      </c>
      <c r="AC137" s="23">
        <f t="shared" si="148"/>
        <v>0</v>
      </c>
      <c r="AD137" s="71"/>
      <c r="AE137" s="14"/>
    </row>
    <row r="138" spans="1:31" ht="14.5" hidden="1">
      <c r="A138" s="67"/>
      <c r="B138" s="11" t="s">
        <v>41</v>
      </c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>
        <f>SUM(C138:AA138)</f>
        <v>0</v>
      </c>
      <c r="AC138" s="11">
        <f>SUM(J138:U138)</f>
        <v>0</v>
      </c>
      <c r="AD138" s="71">
        <f t="shared" ref="AD138" si="149">SUM(AC138:AC140)</f>
        <v>0</v>
      </c>
      <c r="AE138" s="14"/>
    </row>
    <row r="139" spans="1:31" ht="14.5" hidden="1">
      <c r="A139" s="67"/>
      <c r="B139" s="11" t="s">
        <v>42</v>
      </c>
      <c r="C139" s="24"/>
      <c r="D139" s="11"/>
      <c r="E139" s="11"/>
      <c r="F139" s="11"/>
      <c r="G139" s="11"/>
      <c r="H139" s="25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>
        <f t="shared" ref="AB139:AB140" si="150">SUM(C139:AA139)</f>
        <v>0</v>
      </c>
      <c r="AC139" s="11">
        <f t="shared" ref="AC139:AC140" si="151">SUM(J139:U139)</f>
        <v>0</v>
      </c>
      <c r="AD139" s="71"/>
      <c r="AE139" s="14"/>
    </row>
    <row r="140" spans="1:31" ht="14.5" hidden="1">
      <c r="A140" s="67"/>
      <c r="B140" s="23" t="s">
        <v>43</v>
      </c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>
        <f t="shared" si="150"/>
        <v>0</v>
      </c>
      <c r="AC140" s="23">
        <f t="shared" si="151"/>
        <v>0</v>
      </c>
      <c r="AD140" s="71"/>
      <c r="AE140" s="14"/>
    </row>
    <row r="141" spans="1:31" ht="14.5" hidden="1">
      <c r="A141" s="67"/>
      <c r="B141" s="11" t="s">
        <v>41</v>
      </c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>
        <f>SUM(C141:AA141)</f>
        <v>0</v>
      </c>
      <c r="AC141" s="11">
        <f>SUM(J141:U141)</f>
        <v>0</v>
      </c>
      <c r="AD141" s="71">
        <f t="shared" ref="AD141" si="152">SUM(AC141:AC143)</f>
        <v>0</v>
      </c>
      <c r="AE141" s="14"/>
    </row>
    <row r="142" spans="1:31" ht="14.5" hidden="1">
      <c r="A142" s="67"/>
      <c r="B142" s="11" t="s">
        <v>42</v>
      </c>
      <c r="C142" s="24"/>
      <c r="D142" s="11"/>
      <c r="E142" s="11"/>
      <c r="F142" s="11"/>
      <c r="G142" s="11"/>
      <c r="H142" s="25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>
        <f t="shared" ref="AB142:AB143" si="153">SUM(C142:AA142)</f>
        <v>0</v>
      </c>
      <c r="AC142" s="11">
        <f t="shared" ref="AC142:AC143" si="154">SUM(J142:U142)</f>
        <v>0</v>
      </c>
      <c r="AD142" s="71"/>
      <c r="AE142" s="14"/>
    </row>
    <row r="143" spans="1:31" ht="14.5" hidden="1">
      <c r="A143" s="67"/>
      <c r="B143" s="23" t="s">
        <v>43</v>
      </c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>
        <f t="shared" si="153"/>
        <v>0</v>
      </c>
      <c r="AC143" s="23">
        <f t="shared" si="154"/>
        <v>0</v>
      </c>
      <c r="AD143" s="71"/>
      <c r="AE143" s="14"/>
    </row>
    <row r="144" spans="1:31" ht="14.5" hidden="1">
      <c r="A144" s="67"/>
      <c r="B144" s="11" t="s">
        <v>41</v>
      </c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>
        <f>SUM(C144:AA144)</f>
        <v>0</v>
      </c>
      <c r="AC144" s="11">
        <f>SUM(J144:U144)</f>
        <v>0</v>
      </c>
      <c r="AD144" s="71">
        <f t="shared" ref="AD144" si="155">SUM(AC144:AC146)</f>
        <v>0</v>
      </c>
      <c r="AE144" s="14"/>
    </row>
    <row r="145" spans="1:31" ht="14.5" hidden="1">
      <c r="A145" s="67"/>
      <c r="B145" s="11" t="s">
        <v>42</v>
      </c>
      <c r="C145" s="24"/>
      <c r="D145" s="11"/>
      <c r="E145" s="11"/>
      <c r="F145" s="11"/>
      <c r="G145" s="11"/>
      <c r="H145" s="25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>
        <f t="shared" ref="AB145:AB146" si="156">SUM(C145:AA145)</f>
        <v>0</v>
      </c>
      <c r="AC145" s="11">
        <f t="shared" ref="AC145:AC146" si="157">SUM(J145:U145)</f>
        <v>0</v>
      </c>
      <c r="AD145" s="71"/>
      <c r="AE145" s="14"/>
    </row>
    <row r="146" spans="1:31" ht="14.5" hidden="1">
      <c r="A146" s="67"/>
      <c r="B146" s="23" t="s">
        <v>43</v>
      </c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>
        <f t="shared" si="156"/>
        <v>0</v>
      </c>
      <c r="AC146" s="23">
        <f t="shared" si="157"/>
        <v>0</v>
      </c>
      <c r="AD146" s="71"/>
      <c r="AE146" s="14"/>
    </row>
    <row r="147" spans="1:31" ht="15" hidden="1" customHeight="1">
      <c r="A147" s="67"/>
      <c r="B147" s="11" t="s">
        <v>41</v>
      </c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>
        <f>SUM(C147:AA147)</f>
        <v>0</v>
      </c>
      <c r="AC147" s="11">
        <f>SUM(J147:U147)</f>
        <v>0</v>
      </c>
      <c r="AD147" s="71">
        <f t="shared" ref="AD147" si="158">SUM(AC147:AC149)</f>
        <v>0</v>
      </c>
      <c r="AE147" s="14"/>
    </row>
    <row r="148" spans="1:31" ht="15" hidden="1" customHeight="1">
      <c r="A148" s="67"/>
      <c r="B148" s="11" t="s">
        <v>42</v>
      </c>
      <c r="C148" s="24"/>
      <c r="D148" s="11"/>
      <c r="E148" s="11"/>
      <c r="F148" s="11"/>
      <c r="G148" s="11"/>
      <c r="H148" s="25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>
        <f t="shared" ref="AB148:AB149" si="159">SUM(C148:AA148)</f>
        <v>0</v>
      </c>
      <c r="AC148" s="11">
        <f t="shared" ref="AC148:AC149" si="160">SUM(J148:U148)</f>
        <v>0</v>
      </c>
      <c r="AD148" s="71"/>
      <c r="AE148" s="14"/>
    </row>
    <row r="149" spans="1:31" ht="15" hidden="1" customHeight="1">
      <c r="A149" s="67"/>
      <c r="B149" s="23" t="s">
        <v>43</v>
      </c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>
        <f t="shared" si="159"/>
        <v>0</v>
      </c>
      <c r="AC149" s="23">
        <f t="shared" si="160"/>
        <v>0</v>
      </c>
      <c r="AD149" s="71"/>
      <c r="AE149" s="14"/>
    </row>
    <row r="150" spans="1:31" s="8" customFormat="1" ht="14.5">
      <c r="A150" s="68" t="s">
        <v>77</v>
      </c>
      <c r="B150" s="26" t="s">
        <v>41</v>
      </c>
      <c r="C150" s="26">
        <f t="shared" ref="C150:AC152" si="161">C6+C9+C12+C15+C18+C21+C24+C27+C30+C33+C36+C39+C42+C45+C48+C51+C54+C57+C60+C63+C66+C69+C72+C75+C78+C81+C84+C87+C90+C93+C96+C99+C102+C105+C108+C111+C114+C117+C120+C123+C126+C129+C132+C135+C138+C141+C144+C147</f>
        <v>8</v>
      </c>
      <c r="D150" s="26">
        <f t="shared" si="161"/>
        <v>81</v>
      </c>
      <c r="E150" s="26">
        <f t="shared" si="161"/>
        <v>10</v>
      </c>
      <c r="F150" s="26">
        <f t="shared" si="161"/>
        <v>0</v>
      </c>
      <c r="G150" s="26">
        <f t="shared" si="161"/>
        <v>0</v>
      </c>
      <c r="H150" s="26">
        <f t="shared" si="161"/>
        <v>6</v>
      </c>
      <c r="I150" s="26">
        <f t="shared" si="161"/>
        <v>0</v>
      </c>
      <c r="J150" s="26">
        <f t="shared" si="161"/>
        <v>2</v>
      </c>
      <c r="K150" s="26">
        <f t="shared" si="161"/>
        <v>0</v>
      </c>
      <c r="L150" s="26">
        <f t="shared" si="161"/>
        <v>0</v>
      </c>
      <c r="M150" s="26">
        <f t="shared" si="161"/>
        <v>1</v>
      </c>
      <c r="N150" s="26">
        <f t="shared" si="161"/>
        <v>0</v>
      </c>
      <c r="O150" s="26">
        <f t="shared" si="161"/>
        <v>1</v>
      </c>
      <c r="P150" s="26">
        <f t="shared" si="161"/>
        <v>16</v>
      </c>
      <c r="Q150" s="26">
        <f t="shared" si="161"/>
        <v>21</v>
      </c>
      <c r="R150" s="26">
        <f t="shared" si="161"/>
        <v>4</v>
      </c>
      <c r="S150" s="26">
        <f t="shared" si="161"/>
        <v>6</v>
      </c>
      <c r="T150" s="26">
        <f t="shared" si="161"/>
        <v>13</v>
      </c>
      <c r="U150" s="26">
        <f t="shared" si="161"/>
        <v>6</v>
      </c>
      <c r="V150" s="26">
        <f t="shared" si="161"/>
        <v>248</v>
      </c>
      <c r="W150" s="26">
        <f t="shared" si="161"/>
        <v>12</v>
      </c>
      <c r="X150" s="26">
        <f t="shared" si="161"/>
        <v>52</v>
      </c>
      <c r="Y150" s="26">
        <f t="shared" si="161"/>
        <v>0</v>
      </c>
      <c r="Z150" s="26">
        <f t="shared" si="161"/>
        <v>0</v>
      </c>
      <c r="AA150" s="26">
        <f t="shared" si="161"/>
        <v>0</v>
      </c>
      <c r="AB150" s="26">
        <f t="shared" si="161"/>
        <v>487</v>
      </c>
      <c r="AC150" s="26">
        <f t="shared" si="161"/>
        <v>70</v>
      </c>
      <c r="AD150" s="58"/>
      <c r="AE150" s="65">
        <f>SUM(AE6:AE62)</f>
        <v>205</v>
      </c>
    </row>
    <row r="151" spans="1:31" s="8" customFormat="1" ht="14.5">
      <c r="A151" s="68"/>
      <c r="B151" s="26" t="s">
        <v>42</v>
      </c>
      <c r="C151" s="26">
        <f>C7+C10+C13+C16+C19+C22+C25+C28+C31+C34+C37+C40+C43+C46+C49+C52+C55+C58+C61+C64+C67+C70+C73+C76+C79+C82+C85+C88+C91+C94+C97+C100+C103+C106+C109+C112+C115+C118+C121+C124+C127+C130+C133+C136+C139+C142+C145+C148</f>
        <v>2</v>
      </c>
      <c r="D151" s="26">
        <f t="shared" si="161"/>
        <v>1</v>
      </c>
      <c r="E151" s="26">
        <f t="shared" si="161"/>
        <v>0</v>
      </c>
      <c r="F151" s="26">
        <f t="shared" si="161"/>
        <v>0</v>
      </c>
      <c r="G151" s="26">
        <f t="shared" si="161"/>
        <v>0</v>
      </c>
      <c r="H151" s="26">
        <f t="shared" si="161"/>
        <v>1</v>
      </c>
      <c r="I151" s="26">
        <f t="shared" si="161"/>
        <v>0</v>
      </c>
      <c r="J151" s="26">
        <f t="shared" si="161"/>
        <v>0</v>
      </c>
      <c r="K151" s="26">
        <f t="shared" si="161"/>
        <v>0</v>
      </c>
      <c r="L151" s="26">
        <f t="shared" si="161"/>
        <v>0</v>
      </c>
      <c r="M151" s="26">
        <f t="shared" si="161"/>
        <v>0</v>
      </c>
      <c r="N151" s="26">
        <f t="shared" si="161"/>
        <v>0</v>
      </c>
      <c r="O151" s="26">
        <f t="shared" si="161"/>
        <v>0</v>
      </c>
      <c r="P151" s="26">
        <f t="shared" si="161"/>
        <v>0</v>
      </c>
      <c r="Q151" s="26">
        <f t="shared" si="161"/>
        <v>2</v>
      </c>
      <c r="R151" s="26">
        <f t="shared" si="161"/>
        <v>0</v>
      </c>
      <c r="S151" s="26">
        <f t="shared" si="161"/>
        <v>1</v>
      </c>
      <c r="T151" s="26">
        <f t="shared" si="161"/>
        <v>3</v>
      </c>
      <c r="U151" s="26">
        <f t="shared" si="161"/>
        <v>2</v>
      </c>
      <c r="V151" s="26">
        <f t="shared" si="161"/>
        <v>2</v>
      </c>
      <c r="W151" s="26">
        <f t="shared" si="161"/>
        <v>0</v>
      </c>
      <c r="X151" s="26">
        <f t="shared" si="161"/>
        <v>1</v>
      </c>
      <c r="Y151" s="26">
        <f t="shared" si="161"/>
        <v>0</v>
      </c>
      <c r="Z151" s="26">
        <f t="shared" si="161"/>
        <v>0</v>
      </c>
      <c r="AA151" s="26">
        <f t="shared" si="161"/>
        <v>0</v>
      </c>
      <c r="AB151" s="26">
        <f t="shared" si="161"/>
        <v>15</v>
      </c>
      <c r="AC151" s="26">
        <f t="shared" si="161"/>
        <v>8</v>
      </c>
      <c r="AD151" s="58"/>
      <c r="AE151" s="65"/>
    </row>
    <row r="152" spans="1:31" s="8" customFormat="1" ht="14.5">
      <c r="A152" s="68"/>
      <c r="B152" s="26" t="s">
        <v>43</v>
      </c>
      <c r="C152" s="26">
        <f>C8+C11+C14+C17+C20+C23+C26+C29+C32+C35+C38+C41+C44+C47+C50+C53+C56+C59+C62+C65+C68+C71+C74+C77+C80+C83+C86+C89+C92+C95+C98+C101+C104+C107+C110+C113+C116+C119+C122+C125+C128+C131+C134+C137+C140+C143+C146+C149</f>
        <v>0</v>
      </c>
      <c r="D152" s="26">
        <f t="shared" si="161"/>
        <v>0</v>
      </c>
      <c r="E152" s="26">
        <f t="shared" si="161"/>
        <v>1</v>
      </c>
      <c r="F152" s="26">
        <f t="shared" si="161"/>
        <v>0</v>
      </c>
      <c r="G152" s="26">
        <f t="shared" si="161"/>
        <v>0</v>
      </c>
      <c r="H152" s="26">
        <f t="shared" si="161"/>
        <v>1</v>
      </c>
      <c r="I152" s="26">
        <f t="shared" si="161"/>
        <v>0</v>
      </c>
      <c r="J152" s="26">
        <f t="shared" si="161"/>
        <v>0</v>
      </c>
      <c r="K152" s="26">
        <f t="shared" si="161"/>
        <v>0</v>
      </c>
      <c r="L152" s="26">
        <f t="shared" si="161"/>
        <v>0</v>
      </c>
      <c r="M152" s="26">
        <f t="shared" si="161"/>
        <v>0</v>
      </c>
      <c r="N152" s="26">
        <f t="shared" si="161"/>
        <v>0</v>
      </c>
      <c r="O152" s="26">
        <f t="shared" si="161"/>
        <v>0</v>
      </c>
      <c r="P152" s="26">
        <f t="shared" si="161"/>
        <v>0</v>
      </c>
      <c r="Q152" s="26">
        <f t="shared" si="161"/>
        <v>0</v>
      </c>
      <c r="R152" s="26">
        <f t="shared" si="161"/>
        <v>1</v>
      </c>
      <c r="S152" s="26">
        <f t="shared" si="161"/>
        <v>0</v>
      </c>
      <c r="T152" s="26">
        <f t="shared" si="161"/>
        <v>2</v>
      </c>
      <c r="U152" s="26">
        <f t="shared" si="161"/>
        <v>1</v>
      </c>
      <c r="V152" s="26">
        <f t="shared" si="161"/>
        <v>1</v>
      </c>
      <c r="W152" s="26">
        <f t="shared" si="161"/>
        <v>0</v>
      </c>
      <c r="X152" s="26">
        <f t="shared" si="161"/>
        <v>0</v>
      </c>
      <c r="Y152" s="26">
        <f t="shared" si="161"/>
        <v>0</v>
      </c>
      <c r="Z152" s="26">
        <f t="shared" si="161"/>
        <v>39</v>
      </c>
      <c r="AA152" s="26">
        <f t="shared" si="161"/>
        <v>0</v>
      </c>
      <c r="AB152" s="26">
        <f t="shared" si="161"/>
        <v>46</v>
      </c>
      <c r="AC152" s="26">
        <f t="shared" si="161"/>
        <v>4</v>
      </c>
      <c r="AD152" s="58"/>
      <c r="AE152" s="65"/>
    </row>
  </sheetData>
  <mergeCells count="133">
    <mergeCell ref="AD141:AD143"/>
    <mergeCell ref="AD144:AD146"/>
    <mergeCell ref="AD147:AD149"/>
    <mergeCell ref="AD126:AD128"/>
    <mergeCell ref="AD129:AD131"/>
    <mergeCell ref="AD132:AD134"/>
    <mergeCell ref="AD135:AD137"/>
    <mergeCell ref="AD138:AD140"/>
    <mergeCell ref="AD111:AD113"/>
    <mergeCell ref="AD114:AD116"/>
    <mergeCell ref="AD117:AD119"/>
    <mergeCell ref="AD120:AD122"/>
    <mergeCell ref="AD123:AD125"/>
    <mergeCell ref="AD96:AD98"/>
    <mergeCell ref="AD99:AD101"/>
    <mergeCell ref="AD102:AD104"/>
    <mergeCell ref="AD105:AD107"/>
    <mergeCell ref="AD108:AD110"/>
    <mergeCell ref="AD81:AD83"/>
    <mergeCell ref="AD84:AD86"/>
    <mergeCell ref="AD87:AD89"/>
    <mergeCell ref="AD90:AD92"/>
    <mergeCell ref="AD93:AD95"/>
    <mergeCell ref="AD66:AD68"/>
    <mergeCell ref="AD69:AD71"/>
    <mergeCell ref="AD72:AD74"/>
    <mergeCell ref="AD75:AD77"/>
    <mergeCell ref="AD78:AD80"/>
    <mergeCell ref="AD51:AD53"/>
    <mergeCell ref="AD54:AD56"/>
    <mergeCell ref="AD57:AD59"/>
    <mergeCell ref="AD60:AD62"/>
    <mergeCell ref="AD63:AD65"/>
    <mergeCell ref="AD36:AD38"/>
    <mergeCell ref="AD39:AD41"/>
    <mergeCell ref="AD42:AD44"/>
    <mergeCell ref="AD45:AD47"/>
    <mergeCell ref="AD48:AD50"/>
    <mergeCell ref="AD21:AD23"/>
    <mergeCell ref="AD24:AD26"/>
    <mergeCell ref="AD27:AD29"/>
    <mergeCell ref="AD30:AD32"/>
    <mergeCell ref="AD33:AD35"/>
    <mergeCell ref="AD6:AD8"/>
    <mergeCell ref="AD9:AD11"/>
    <mergeCell ref="AD12:AD14"/>
    <mergeCell ref="AD15:AD17"/>
    <mergeCell ref="AD18:AD20"/>
    <mergeCell ref="A12:A14"/>
    <mergeCell ref="P4:S4"/>
    <mergeCell ref="T4:U4"/>
    <mergeCell ref="V4:V5"/>
    <mergeCell ref="W4:W5"/>
    <mergeCell ref="A4:A5"/>
    <mergeCell ref="B4:B5"/>
    <mergeCell ref="C4:G4"/>
    <mergeCell ref="H4:I4"/>
    <mergeCell ref="J4:M4"/>
    <mergeCell ref="N4:O4"/>
    <mergeCell ref="AA4:AA5"/>
    <mergeCell ref="AB4:AB5"/>
    <mergeCell ref="AC4:AC5"/>
    <mergeCell ref="A6:A8"/>
    <mergeCell ref="A9:A11"/>
    <mergeCell ref="X4:Y4"/>
    <mergeCell ref="Z4:Z5"/>
    <mergeCell ref="A48:A50"/>
    <mergeCell ref="A15:A17"/>
    <mergeCell ref="A18:A20"/>
    <mergeCell ref="A21:A23"/>
    <mergeCell ref="A24:A26"/>
    <mergeCell ref="A27:A29"/>
    <mergeCell ref="A30:A32"/>
    <mergeCell ref="A33:A35"/>
    <mergeCell ref="A36:A38"/>
    <mergeCell ref="A39:A41"/>
    <mergeCell ref="A42:A44"/>
    <mergeCell ref="A45:A47"/>
    <mergeCell ref="A84:A86"/>
    <mergeCell ref="A51:A53"/>
    <mergeCell ref="A54:A56"/>
    <mergeCell ref="A57:A59"/>
    <mergeCell ref="A60:A62"/>
    <mergeCell ref="A63:A65"/>
    <mergeCell ref="A66:A68"/>
    <mergeCell ref="A69:A71"/>
    <mergeCell ref="A72:A74"/>
    <mergeCell ref="A75:A77"/>
    <mergeCell ref="A78:A80"/>
    <mergeCell ref="A81:A83"/>
    <mergeCell ref="A120:A122"/>
    <mergeCell ref="A87:A89"/>
    <mergeCell ref="A90:A92"/>
    <mergeCell ref="A93:A95"/>
    <mergeCell ref="A96:A98"/>
    <mergeCell ref="A99:A101"/>
    <mergeCell ref="A102:A104"/>
    <mergeCell ref="A105:A107"/>
    <mergeCell ref="A108:A110"/>
    <mergeCell ref="A111:A113"/>
    <mergeCell ref="A114:A116"/>
    <mergeCell ref="A117:A119"/>
    <mergeCell ref="A141:A143"/>
    <mergeCell ref="A144:A146"/>
    <mergeCell ref="A147:A149"/>
    <mergeCell ref="A150:A152"/>
    <mergeCell ref="A123:A125"/>
    <mergeCell ref="A126:A128"/>
    <mergeCell ref="A129:A131"/>
    <mergeCell ref="A132:A134"/>
    <mergeCell ref="A135:A137"/>
    <mergeCell ref="A138:A140"/>
    <mergeCell ref="AE60:AE62"/>
    <mergeCell ref="AE150:AE152"/>
    <mergeCell ref="AE4:AE5"/>
    <mergeCell ref="AE33:AE35"/>
    <mergeCell ref="AE36:AE38"/>
    <mergeCell ref="AE39:AE41"/>
    <mergeCell ref="AE42:AE44"/>
    <mergeCell ref="AE45:AE47"/>
    <mergeCell ref="AE48:AE50"/>
    <mergeCell ref="AE51:AE53"/>
    <mergeCell ref="AE54:AE56"/>
    <mergeCell ref="AE57:AE59"/>
    <mergeCell ref="AE6:AE8"/>
    <mergeCell ref="AE9:AE11"/>
    <mergeCell ref="AE12:AE14"/>
    <mergeCell ref="AE15:AE17"/>
    <mergeCell ref="AE18:AE20"/>
    <mergeCell ref="AE21:AE23"/>
    <mergeCell ref="AE24:AE26"/>
    <mergeCell ref="AE27:AE29"/>
    <mergeCell ref="AE30:AE32"/>
  </mergeCells>
  <conditionalFormatting sqref="AD6:AD62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{0EA9903C-FC3C-4194-ACDC-6EE2D71EF06E}</x14:id>
        </ext>
      </extLst>
    </cfRule>
    <cfRule type="dataBar" priority="8">
      <dataBar>
        <cfvo type="percentile" val="10"/>
        <cfvo type="percentile" val="90"/>
        <color rgb="FF638EC6"/>
      </dataBar>
      <extLst>
        <ext xmlns:x14="http://schemas.microsoft.com/office/spreadsheetml/2009/9/main" uri="{B025F937-C7B1-47D3-B67F-A62EFF666E3E}">
          <x14:id>{4CEF9510-0046-4CE9-B7C2-60598DC0FE90}</x14:id>
        </ext>
      </extLst>
    </cfRule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{03163EEC-211C-4CEC-969A-439B73991224}</x14:id>
        </ext>
      </extLst>
    </cfRule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A4:AC62">
    <cfRule type="expression" dxfId="19" priority="6">
      <formula>OR(CELL("col")=COLUMN(),CELL("row")=ROW())</formula>
    </cfRule>
  </conditionalFormatting>
  <conditionalFormatting sqref="AE6:AE149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{745B4DD9-F207-4286-8B46-710077789C39}</x14:id>
        </ext>
      </extLst>
    </cfRule>
  </conditionalFormatting>
  <pageMargins left="0.7" right="0.7" top="0.75" bottom="0.75" header="0.3" footer="0.3"/>
  <pageSetup paperSize="9" scale="96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A9903C-FC3C-4194-ACDC-6EE2D71EF0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CEF9510-0046-4CE9-B7C2-60598DC0FE90}">
            <x14:dataBar minLength="0" maxLength="100" gradient="0">
              <x14:cfvo type="percentile">
                <xm:f>10</xm:f>
              </x14:cfvo>
              <x14:cfvo type="percentile">
                <xm:f>90</xm:f>
              </x14:cfvo>
              <x14:negativeFillColor rgb="FFFF0000"/>
              <x14:axisColor rgb="FF000000"/>
            </x14:dataBar>
          </x14:cfRule>
          <x14:cfRule type="dataBar" id="{03163EEC-211C-4CEC-969A-439B739912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AD6:AD62</xm:sqref>
        </x14:conditionalFormatting>
        <x14:conditionalFormatting xmlns:xm="http://schemas.microsoft.com/office/excel/2006/main">
          <x14:cfRule type="dataBar" id="{745B4DD9-F207-4286-8B46-710077789C39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AE6:AE149</xm:sqref>
        </x14:conditionalFormatting>
        <x14:conditionalFormatting xmlns:xm="http://schemas.microsoft.com/office/excel/2006/main">
          <x14:cfRule type="iconSet" priority="2" id="{49637325-EC1D-4885-A172-24B325805382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AE6:AE149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E9292-06D5-484E-8597-568FD1C89558}">
  <sheetPr codeName="Sheet4"/>
  <dimension ref="A1:AF104"/>
  <sheetViews>
    <sheetView rightToLeft="1" zoomScale="60" zoomScaleNormal="60" workbookViewId="0">
      <pane xSplit="1" ySplit="10" topLeftCell="B61" activePane="bottomRight" state="frozen"/>
      <selection pane="topRight" activeCell="B1" sqref="B1"/>
      <selection pane="bottomLeft" activeCell="A10" sqref="A10"/>
      <selection pane="bottomRight" activeCell="L66" sqref="L66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269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46</v>
      </c>
      <c r="B6" s="5" t="s">
        <v>41</v>
      </c>
      <c r="C6" s="5">
        <f t="shared" ref="C6:R8" si="0">SUM(C11,C14,C17,C20,C23,C26,C29,C32,C35,C38,C41,C44,C47,C50,C53,C56,C59,C62,C65,C68,C71,C74,C77,C80,C83,C86,C89,C92,C95,C98,C101)</f>
        <v>2</v>
      </c>
      <c r="D6" s="5">
        <f t="shared" ref="D6:AC6" si="1">SUM(D11,D14,D17,D20,D23,D26,D29,D32,D35,D38,D41,D44,D47,D50,D53,D56,D59,D62,D65,D68,D71,D74,D77,D80,D83,D86,D89,D92,D95,D98,D101)</f>
        <v>4</v>
      </c>
      <c r="E6" s="5">
        <f t="shared" si="1"/>
        <v>0</v>
      </c>
      <c r="F6" s="5">
        <f t="shared" si="1"/>
        <v>0</v>
      </c>
      <c r="G6" s="5">
        <f t="shared" si="1"/>
        <v>0</v>
      </c>
      <c r="H6" s="5">
        <f t="shared" si="1"/>
        <v>1</v>
      </c>
      <c r="I6" s="5">
        <f t="shared" si="1"/>
        <v>0</v>
      </c>
      <c r="J6" s="5">
        <f t="shared" si="1"/>
        <v>0</v>
      </c>
      <c r="K6" s="5">
        <f t="shared" si="1"/>
        <v>0</v>
      </c>
      <c r="L6" s="5">
        <f t="shared" si="1"/>
        <v>0</v>
      </c>
      <c r="M6" s="5">
        <f t="shared" si="1"/>
        <v>0</v>
      </c>
      <c r="N6" s="5">
        <f t="shared" si="1"/>
        <v>0</v>
      </c>
      <c r="O6" s="5">
        <f t="shared" si="1"/>
        <v>0</v>
      </c>
      <c r="P6" s="5">
        <f t="shared" si="1"/>
        <v>4</v>
      </c>
      <c r="Q6" s="5">
        <f t="shared" si="1"/>
        <v>0</v>
      </c>
      <c r="R6" s="5">
        <f t="shared" si="1"/>
        <v>1</v>
      </c>
      <c r="S6" s="5">
        <f t="shared" si="1"/>
        <v>1</v>
      </c>
      <c r="T6" s="5">
        <f t="shared" si="1"/>
        <v>1</v>
      </c>
      <c r="U6" s="5">
        <f t="shared" si="1"/>
        <v>0</v>
      </c>
      <c r="V6" s="5">
        <f t="shared" si="1"/>
        <v>12</v>
      </c>
      <c r="W6" s="5">
        <f t="shared" si="1"/>
        <v>0</v>
      </c>
      <c r="X6" s="5">
        <f t="shared" si="1"/>
        <v>5</v>
      </c>
      <c r="Y6" s="5">
        <f t="shared" si="1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5">
        <f t="shared" si="1"/>
        <v>0</v>
      </c>
      <c r="AD6" s="5">
        <f>SUM(C6:AC6)</f>
        <v>31</v>
      </c>
      <c r="AE6" s="5">
        <f>SUM(J6:U6)</f>
        <v>7</v>
      </c>
      <c r="AF6" s="78">
        <f>(AE6+AE7+AE8)/(AD6+AD7+AD8-Z9)*100</f>
        <v>22.58064516129032</v>
      </c>
    </row>
    <row r="7" spans="1:32" ht="22.5" customHeight="1">
      <c r="A7" s="95"/>
      <c r="B7" s="4" t="s">
        <v>42</v>
      </c>
      <c r="C7" s="27">
        <f t="shared" si="0"/>
        <v>0</v>
      </c>
      <c r="D7" s="27">
        <f t="shared" si="0"/>
        <v>0</v>
      </c>
      <c r="E7" s="27">
        <f t="shared" si="0"/>
        <v>0</v>
      </c>
      <c r="F7" s="27">
        <f t="shared" si="0"/>
        <v>0</v>
      </c>
      <c r="G7" s="27">
        <f t="shared" si="0"/>
        <v>0</v>
      </c>
      <c r="H7" s="27">
        <f t="shared" si="0"/>
        <v>0</v>
      </c>
      <c r="I7" s="27">
        <f t="shared" si="0"/>
        <v>0</v>
      </c>
      <c r="J7" s="27">
        <f t="shared" si="0"/>
        <v>0</v>
      </c>
      <c r="K7" s="27">
        <f t="shared" si="0"/>
        <v>0</v>
      </c>
      <c r="L7" s="27">
        <f t="shared" si="0"/>
        <v>0</v>
      </c>
      <c r="M7" s="27">
        <f t="shared" si="0"/>
        <v>0</v>
      </c>
      <c r="N7" s="27">
        <f t="shared" si="0"/>
        <v>0</v>
      </c>
      <c r="O7" s="27">
        <f t="shared" si="0"/>
        <v>0</v>
      </c>
      <c r="P7" s="27">
        <f t="shared" si="0"/>
        <v>0</v>
      </c>
      <c r="Q7" s="27">
        <f t="shared" si="0"/>
        <v>0</v>
      </c>
      <c r="R7" s="27">
        <f t="shared" si="0"/>
        <v>0</v>
      </c>
      <c r="S7" s="27">
        <f t="shared" ref="S7:AC8" si="2">SUM(S12,S15,S18,S21,S24,S27,S30,S33,S36,S39,S42,S45,S48,S51,S54,S57,S60,S63,S66,S69,S72,S75,S78,S81,S84,S87,S90,S93,S96,S99,S102)</f>
        <v>0</v>
      </c>
      <c r="T7" s="27">
        <f t="shared" si="2"/>
        <v>0</v>
      </c>
      <c r="U7" s="27">
        <f t="shared" si="2"/>
        <v>0</v>
      </c>
      <c r="V7" s="27">
        <f t="shared" si="2"/>
        <v>0</v>
      </c>
      <c r="W7" s="27">
        <f t="shared" si="2"/>
        <v>0</v>
      </c>
      <c r="X7" s="27">
        <f t="shared" si="2"/>
        <v>0</v>
      </c>
      <c r="Y7" s="27">
        <f t="shared" si="2"/>
        <v>0</v>
      </c>
      <c r="Z7" s="51">
        <f t="shared" si="2"/>
        <v>0</v>
      </c>
      <c r="AA7" s="51">
        <f t="shared" si="2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27">
        <f t="shared" si="2"/>
        <v>0</v>
      </c>
      <c r="AD7" s="4">
        <f t="shared" ref="AD7:AD8" si="3">SUM(C7:AC7)</f>
        <v>0</v>
      </c>
      <c r="AE7" s="4">
        <f t="shared" ref="AE7:AE8" si="4">SUM(J7:U7)</f>
        <v>0</v>
      </c>
      <c r="AF7" s="78"/>
    </row>
    <row r="8" spans="1:32" ht="22.5" customHeight="1" thickBot="1">
      <c r="A8" s="96"/>
      <c r="B8" s="7" t="s">
        <v>43</v>
      </c>
      <c r="C8" s="7">
        <f t="shared" si="0"/>
        <v>0</v>
      </c>
      <c r="D8" s="7">
        <f t="shared" si="0"/>
        <v>0</v>
      </c>
      <c r="E8" s="7">
        <f t="shared" si="0"/>
        <v>0</v>
      </c>
      <c r="F8" s="7">
        <f t="shared" si="0"/>
        <v>0</v>
      </c>
      <c r="G8" s="7">
        <f t="shared" si="0"/>
        <v>0</v>
      </c>
      <c r="H8" s="7">
        <f t="shared" si="0"/>
        <v>0</v>
      </c>
      <c r="I8" s="7">
        <f t="shared" si="0"/>
        <v>0</v>
      </c>
      <c r="J8" s="7">
        <f t="shared" si="0"/>
        <v>0</v>
      </c>
      <c r="K8" s="7">
        <f t="shared" si="0"/>
        <v>0</v>
      </c>
      <c r="L8" s="7">
        <f t="shared" si="0"/>
        <v>0</v>
      </c>
      <c r="M8" s="7">
        <f t="shared" si="0"/>
        <v>0</v>
      </c>
      <c r="N8" s="7">
        <f t="shared" si="0"/>
        <v>0</v>
      </c>
      <c r="O8" s="7">
        <f t="shared" si="0"/>
        <v>0</v>
      </c>
      <c r="P8" s="7">
        <f t="shared" si="0"/>
        <v>0</v>
      </c>
      <c r="Q8" s="7">
        <f t="shared" si="0"/>
        <v>0</v>
      </c>
      <c r="R8" s="7">
        <f t="shared" si="0"/>
        <v>0</v>
      </c>
      <c r="S8" s="7">
        <f t="shared" si="2"/>
        <v>0</v>
      </c>
      <c r="T8" s="7">
        <f t="shared" si="2"/>
        <v>0</v>
      </c>
      <c r="U8" s="7">
        <f t="shared" si="2"/>
        <v>0</v>
      </c>
      <c r="V8" s="7">
        <f t="shared" si="2"/>
        <v>0</v>
      </c>
      <c r="W8" s="7">
        <f t="shared" si="2"/>
        <v>0</v>
      </c>
      <c r="X8" s="7">
        <f t="shared" si="2"/>
        <v>0</v>
      </c>
      <c r="Y8" s="7">
        <f t="shared" si="2"/>
        <v>0</v>
      </c>
      <c r="Z8" s="52">
        <f t="shared" si="2"/>
        <v>5</v>
      </c>
      <c r="AA8" s="52">
        <f t="shared" si="2"/>
        <v>2</v>
      </c>
      <c r="AB8" s="52">
        <f>SUM(AB13,AB16,AB19,AB22,AB25,AB28,AB31,AB34,AB37,AB40,AB43,AB46,AB49,AB52,AB55,AB58,AB61,AB64,AB67,AB70,AB73,AB76,AB79,AB82,AB85,AB88,AB91,AB94,AB97,AB100,AB103)</f>
        <v>3</v>
      </c>
      <c r="AC8" s="7">
        <f t="shared" si="2"/>
        <v>0</v>
      </c>
      <c r="AD8" s="7">
        <f t="shared" si="3"/>
        <v>10</v>
      </c>
      <c r="AE8" s="7">
        <f t="shared" si="4"/>
        <v>0</v>
      </c>
      <c r="AF8" s="78"/>
    </row>
    <row r="9" spans="1:32" ht="22.5" customHeight="1" thickTop="1" thickBot="1">
      <c r="A9" s="54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83">
        <f>SUM(Z6:AB8)</f>
        <v>10</v>
      </c>
      <c r="AA9" s="84"/>
      <c r="AB9" s="85"/>
      <c r="AC9" s="31"/>
      <c r="AD9" s="31"/>
      <c r="AE9" s="31"/>
      <c r="AF9" s="53"/>
    </row>
    <row r="10" spans="1:32" ht="15.5" thickTop="1" thickBot="1"/>
    <row r="11" spans="1:32" ht="15" thickTop="1">
      <c r="A11" s="63">
        <v>1</v>
      </c>
      <c r="B11" s="31"/>
      <c r="C11" s="41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42"/>
      <c r="AD11" s="31">
        <f>SUM(C11:AC11)</f>
        <v>0</v>
      </c>
      <c r="AE11" s="31">
        <f>SUM(J11:U11)</f>
        <v>0</v>
      </c>
    </row>
    <row r="12" spans="1:32">
      <c r="A12" s="63"/>
      <c r="B12" s="31"/>
      <c r="C12" s="43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4"/>
      <c r="AD12" s="31">
        <f t="shared" ref="AD12:AD75" si="5">SUM(C12:AC12)</f>
        <v>0</v>
      </c>
      <c r="AE12" s="31">
        <f t="shared" ref="AE12:AE75" si="6">SUM(J12:U12)</f>
        <v>0</v>
      </c>
    </row>
    <row r="13" spans="1:32" ht="15" thickBot="1">
      <c r="A13" s="63"/>
      <c r="B13" s="31"/>
      <c r="C13" s="45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46"/>
      <c r="AD13" s="31">
        <f t="shared" si="5"/>
        <v>0</v>
      </c>
      <c r="AE13" s="31">
        <f t="shared" si="6"/>
        <v>0</v>
      </c>
    </row>
    <row r="14" spans="1:32" ht="15" thickTop="1">
      <c r="A14" s="63">
        <v>2</v>
      </c>
      <c r="B14" s="31"/>
      <c r="C14" s="4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>
        <v>1</v>
      </c>
      <c r="W14" s="5"/>
      <c r="X14" s="5"/>
      <c r="Y14" s="5"/>
      <c r="Z14" s="5"/>
      <c r="AA14" s="5"/>
      <c r="AB14" s="5"/>
      <c r="AC14" s="47"/>
      <c r="AD14" s="31">
        <f t="shared" si="5"/>
        <v>1</v>
      </c>
      <c r="AE14" s="31">
        <f t="shared" si="6"/>
        <v>0</v>
      </c>
    </row>
    <row r="15" spans="1:32">
      <c r="A15" s="63"/>
      <c r="B15" s="31"/>
      <c r="C15" s="43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4"/>
      <c r="AD15" s="31">
        <f t="shared" si="5"/>
        <v>0</v>
      </c>
      <c r="AE15" s="31">
        <f t="shared" si="6"/>
        <v>0</v>
      </c>
    </row>
    <row r="16" spans="1:32" ht="15" thickBot="1">
      <c r="A16" s="63"/>
      <c r="B16" s="31"/>
      <c r="C16" s="45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46"/>
      <c r="AD16" s="31">
        <f t="shared" si="5"/>
        <v>0</v>
      </c>
      <c r="AE16" s="31">
        <f t="shared" si="6"/>
        <v>0</v>
      </c>
    </row>
    <row r="17" spans="1:31" ht="15" thickTop="1">
      <c r="A17" s="63">
        <v>3</v>
      </c>
      <c r="C17" s="48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47"/>
      <c r="AD17" s="31">
        <f t="shared" si="5"/>
        <v>0</v>
      </c>
      <c r="AE17" s="31">
        <f t="shared" si="6"/>
        <v>0</v>
      </c>
    </row>
    <row r="18" spans="1:31">
      <c r="A18" s="63"/>
      <c r="C18" s="43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4"/>
      <c r="AD18" s="31">
        <f t="shared" si="5"/>
        <v>0</v>
      </c>
      <c r="AE18" s="31">
        <f t="shared" si="6"/>
        <v>0</v>
      </c>
    </row>
    <row r="19" spans="1:31" ht="15" thickBot="1">
      <c r="A19" s="63"/>
      <c r="C19" s="45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46"/>
      <c r="AD19" s="31">
        <f t="shared" si="5"/>
        <v>0</v>
      </c>
      <c r="AE19" s="31">
        <f t="shared" si="6"/>
        <v>0</v>
      </c>
    </row>
    <row r="20" spans="1:31" ht="15" thickTop="1">
      <c r="A20" s="63">
        <v>4</v>
      </c>
      <c r="C20" s="48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47"/>
      <c r="AD20" s="31">
        <f t="shared" si="5"/>
        <v>0</v>
      </c>
      <c r="AE20" s="31">
        <f t="shared" si="6"/>
        <v>0</v>
      </c>
    </row>
    <row r="21" spans="1:31">
      <c r="A21" s="63"/>
      <c r="C21" s="43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4"/>
      <c r="AD21" s="31">
        <f t="shared" si="5"/>
        <v>0</v>
      </c>
      <c r="AE21" s="31">
        <f t="shared" si="6"/>
        <v>0</v>
      </c>
    </row>
    <row r="22" spans="1:31" ht="15" thickBot="1">
      <c r="A22" s="63"/>
      <c r="C22" s="45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46"/>
      <c r="AD22" s="31">
        <f t="shared" si="5"/>
        <v>0</v>
      </c>
      <c r="AE22" s="31">
        <f t="shared" si="6"/>
        <v>0</v>
      </c>
    </row>
    <row r="23" spans="1:31" ht="15" thickTop="1">
      <c r="A23" s="63">
        <v>5</v>
      </c>
      <c r="C23" s="48"/>
      <c r="D23" s="5">
        <v>1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>
        <v>2</v>
      </c>
      <c r="W23" s="5"/>
      <c r="X23" s="5">
        <v>3</v>
      </c>
      <c r="Y23" s="5"/>
      <c r="Z23" s="5"/>
      <c r="AA23" s="5"/>
      <c r="AB23" s="5"/>
      <c r="AC23" s="47"/>
      <c r="AD23" s="31">
        <f t="shared" si="5"/>
        <v>6</v>
      </c>
      <c r="AE23" s="31">
        <f t="shared" si="6"/>
        <v>0</v>
      </c>
    </row>
    <row r="24" spans="1:31">
      <c r="A24" s="63"/>
      <c r="C24" s="43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4"/>
      <c r="AD24" s="31">
        <f t="shared" si="5"/>
        <v>0</v>
      </c>
      <c r="AE24" s="31">
        <f t="shared" si="6"/>
        <v>0</v>
      </c>
    </row>
    <row r="25" spans="1:31" ht="15" thickBot="1">
      <c r="A25" s="63"/>
      <c r="C25" s="45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>
        <v>1</v>
      </c>
      <c r="AA25" s="7"/>
      <c r="AB25" s="7">
        <v>1</v>
      </c>
      <c r="AC25" s="46"/>
      <c r="AD25" s="31">
        <f t="shared" si="5"/>
        <v>2</v>
      </c>
      <c r="AE25" s="31">
        <f t="shared" si="6"/>
        <v>0</v>
      </c>
    </row>
    <row r="26" spans="1:31" ht="15" thickTop="1">
      <c r="A26" s="63">
        <v>6</v>
      </c>
      <c r="C26" s="48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47"/>
      <c r="AD26" s="31">
        <f t="shared" si="5"/>
        <v>0</v>
      </c>
      <c r="AE26" s="31">
        <f t="shared" si="6"/>
        <v>0</v>
      </c>
    </row>
    <row r="27" spans="1:31">
      <c r="A27" s="63"/>
      <c r="C27" s="43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4"/>
      <c r="AD27" s="31">
        <f t="shared" si="5"/>
        <v>0</v>
      </c>
      <c r="AE27" s="31">
        <f t="shared" si="6"/>
        <v>0</v>
      </c>
    </row>
    <row r="28" spans="1:31" ht="15" thickBot="1">
      <c r="A28" s="63"/>
      <c r="C28" s="45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46"/>
      <c r="AD28" s="31">
        <f t="shared" si="5"/>
        <v>0</v>
      </c>
      <c r="AE28" s="31">
        <f t="shared" si="6"/>
        <v>0</v>
      </c>
    </row>
    <row r="29" spans="1:31" ht="15" thickTop="1">
      <c r="A29" s="63">
        <v>7</v>
      </c>
      <c r="C29" s="4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47"/>
      <c r="AD29" s="31">
        <f t="shared" si="5"/>
        <v>0</v>
      </c>
      <c r="AE29" s="31">
        <f t="shared" si="6"/>
        <v>0</v>
      </c>
    </row>
    <row r="30" spans="1:31">
      <c r="A30" s="63"/>
      <c r="C30" s="43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4"/>
      <c r="AD30" s="31">
        <f t="shared" si="5"/>
        <v>0</v>
      </c>
      <c r="AE30" s="31">
        <f t="shared" si="6"/>
        <v>0</v>
      </c>
    </row>
    <row r="31" spans="1:31" ht="15" thickBot="1">
      <c r="A31" s="63"/>
      <c r="C31" s="45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46"/>
      <c r="AD31" s="31">
        <f t="shared" si="5"/>
        <v>0</v>
      </c>
      <c r="AE31" s="31">
        <f t="shared" si="6"/>
        <v>0</v>
      </c>
    </row>
    <row r="32" spans="1:31" ht="15" thickTop="1">
      <c r="A32" s="63">
        <v>8</v>
      </c>
      <c r="C32" s="4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47"/>
      <c r="AD32" s="31">
        <f t="shared" si="5"/>
        <v>0</v>
      </c>
      <c r="AE32" s="31">
        <f t="shared" si="6"/>
        <v>0</v>
      </c>
    </row>
    <row r="33" spans="1:31">
      <c r="A33" s="63"/>
      <c r="C33" s="43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4"/>
      <c r="AD33" s="31">
        <f t="shared" si="5"/>
        <v>0</v>
      </c>
      <c r="AE33" s="31">
        <f t="shared" si="6"/>
        <v>0</v>
      </c>
    </row>
    <row r="34" spans="1:31" ht="15" thickBot="1">
      <c r="A34" s="63"/>
      <c r="C34" s="45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46"/>
      <c r="AD34" s="31">
        <f t="shared" si="5"/>
        <v>0</v>
      </c>
      <c r="AE34" s="31">
        <f t="shared" si="6"/>
        <v>0</v>
      </c>
    </row>
    <row r="35" spans="1:31" ht="15" thickTop="1">
      <c r="A35" s="63">
        <v>9</v>
      </c>
      <c r="C35" s="48"/>
      <c r="D35" s="5">
        <v>1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>
        <v>3</v>
      </c>
      <c r="Q35" s="5"/>
      <c r="R35" s="5"/>
      <c r="S35" s="5"/>
      <c r="T35" s="5"/>
      <c r="U35" s="5"/>
      <c r="V35" s="5">
        <v>3</v>
      </c>
      <c r="W35" s="5"/>
      <c r="X35" s="5">
        <v>1</v>
      </c>
      <c r="Y35" s="5"/>
      <c r="Z35" s="5"/>
      <c r="AA35" s="5"/>
      <c r="AB35" s="5"/>
      <c r="AC35" s="47"/>
      <c r="AD35" s="31">
        <f t="shared" si="5"/>
        <v>8</v>
      </c>
      <c r="AE35" s="31">
        <f t="shared" si="6"/>
        <v>3</v>
      </c>
    </row>
    <row r="36" spans="1:31">
      <c r="A36" s="63"/>
      <c r="C36" s="43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4"/>
      <c r="AD36" s="31">
        <f t="shared" si="5"/>
        <v>0</v>
      </c>
      <c r="AE36" s="31">
        <f t="shared" si="6"/>
        <v>0</v>
      </c>
    </row>
    <row r="37" spans="1:31" ht="15" thickBot="1">
      <c r="A37" s="63"/>
      <c r="C37" s="45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>
        <v>1</v>
      </c>
      <c r="AA37" s="7"/>
      <c r="AB37" s="7"/>
      <c r="AC37" s="46"/>
      <c r="AD37" s="31">
        <f t="shared" si="5"/>
        <v>1</v>
      </c>
      <c r="AE37" s="31">
        <f t="shared" si="6"/>
        <v>0</v>
      </c>
    </row>
    <row r="38" spans="1:31" ht="15" thickTop="1">
      <c r="A38" s="63">
        <v>10</v>
      </c>
      <c r="C38" s="4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47"/>
      <c r="AD38" s="31">
        <f t="shared" si="5"/>
        <v>0</v>
      </c>
      <c r="AE38" s="31">
        <f t="shared" si="6"/>
        <v>0</v>
      </c>
    </row>
    <row r="39" spans="1:31">
      <c r="A39" s="63"/>
      <c r="C39" s="43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4"/>
      <c r="AD39" s="31">
        <f t="shared" si="5"/>
        <v>0</v>
      </c>
      <c r="AE39" s="31">
        <f t="shared" si="6"/>
        <v>0</v>
      </c>
    </row>
    <row r="40" spans="1:31" ht="15" thickBot="1">
      <c r="A40" s="63"/>
      <c r="C40" s="45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46"/>
      <c r="AD40" s="31">
        <f t="shared" si="5"/>
        <v>0</v>
      </c>
      <c r="AE40" s="31">
        <f t="shared" si="6"/>
        <v>0</v>
      </c>
    </row>
    <row r="41" spans="1:31" ht="15" thickTop="1">
      <c r="A41" s="63">
        <v>11</v>
      </c>
      <c r="C41" s="4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47"/>
      <c r="AD41" s="31">
        <f t="shared" si="5"/>
        <v>0</v>
      </c>
      <c r="AE41" s="31">
        <f t="shared" si="6"/>
        <v>0</v>
      </c>
    </row>
    <row r="42" spans="1:31">
      <c r="A42" s="63"/>
      <c r="C42" s="43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4"/>
      <c r="AD42" s="31">
        <f t="shared" si="5"/>
        <v>0</v>
      </c>
      <c r="AE42" s="31">
        <f t="shared" si="6"/>
        <v>0</v>
      </c>
    </row>
    <row r="43" spans="1:31" ht="15" thickBot="1">
      <c r="A43" s="63"/>
      <c r="C43" s="45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46"/>
      <c r="AD43" s="31">
        <f t="shared" si="5"/>
        <v>0</v>
      </c>
      <c r="AE43" s="31">
        <f t="shared" si="6"/>
        <v>0</v>
      </c>
    </row>
    <row r="44" spans="1:31" ht="15" thickTop="1">
      <c r="A44" s="63">
        <v>12</v>
      </c>
      <c r="C44" s="48"/>
      <c r="D44" s="5">
        <v>1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>
        <v>4</v>
      </c>
      <c r="W44" s="5"/>
      <c r="X44" s="5">
        <v>1</v>
      </c>
      <c r="Y44" s="5"/>
      <c r="Z44" s="5"/>
      <c r="AA44" s="5"/>
      <c r="AB44" s="5"/>
      <c r="AC44" s="47"/>
      <c r="AD44" s="31">
        <f t="shared" si="5"/>
        <v>6</v>
      </c>
      <c r="AE44" s="31">
        <f t="shared" si="6"/>
        <v>0</v>
      </c>
    </row>
    <row r="45" spans="1:31">
      <c r="A45" s="63"/>
      <c r="C45" s="43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4"/>
      <c r="AD45" s="31">
        <f t="shared" si="5"/>
        <v>0</v>
      </c>
      <c r="AE45" s="31">
        <f t="shared" si="6"/>
        <v>0</v>
      </c>
    </row>
    <row r="46" spans="1:31" ht="15" thickBot="1">
      <c r="A46" s="63"/>
      <c r="C46" s="45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>
        <v>1</v>
      </c>
      <c r="AA46" s="7"/>
      <c r="AB46" s="7"/>
      <c r="AC46" s="46"/>
      <c r="AD46" s="31">
        <f t="shared" si="5"/>
        <v>1</v>
      </c>
      <c r="AE46" s="31">
        <f t="shared" si="6"/>
        <v>0</v>
      </c>
    </row>
    <row r="47" spans="1:31" ht="15" thickTop="1">
      <c r="A47" s="63">
        <v>13</v>
      </c>
      <c r="C47" s="4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47"/>
      <c r="AD47" s="31">
        <f t="shared" si="5"/>
        <v>0</v>
      </c>
      <c r="AE47" s="31">
        <f t="shared" si="6"/>
        <v>0</v>
      </c>
    </row>
    <row r="48" spans="1:31">
      <c r="A48" s="63"/>
      <c r="C48" s="43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4"/>
      <c r="AD48" s="31">
        <f t="shared" si="5"/>
        <v>0</v>
      </c>
      <c r="AE48" s="31">
        <f t="shared" si="6"/>
        <v>0</v>
      </c>
    </row>
    <row r="49" spans="1:31" ht="15" thickBot="1">
      <c r="A49" s="63"/>
      <c r="C49" s="45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46"/>
      <c r="AD49" s="31">
        <f t="shared" si="5"/>
        <v>0</v>
      </c>
      <c r="AE49" s="31">
        <f t="shared" si="6"/>
        <v>0</v>
      </c>
    </row>
    <row r="50" spans="1:31" ht="15" thickTop="1">
      <c r="A50" s="63">
        <v>14</v>
      </c>
      <c r="C50" s="48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47"/>
      <c r="AD50" s="31">
        <f t="shared" si="5"/>
        <v>0</v>
      </c>
      <c r="AE50" s="31">
        <f t="shared" si="6"/>
        <v>0</v>
      </c>
    </row>
    <row r="51" spans="1:31">
      <c r="A51" s="63"/>
      <c r="C51" s="43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4"/>
      <c r="AD51" s="31">
        <f t="shared" si="5"/>
        <v>0</v>
      </c>
      <c r="AE51" s="31">
        <f t="shared" si="6"/>
        <v>0</v>
      </c>
    </row>
    <row r="52" spans="1:31" ht="15" thickBot="1">
      <c r="A52" s="63"/>
      <c r="C52" s="45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>
        <v>2</v>
      </c>
      <c r="AA52" s="7"/>
      <c r="AB52" s="7"/>
      <c r="AC52" s="46"/>
      <c r="AD52" s="31">
        <f t="shared" si="5"/>
        <v>2</v>
      </c>
      <c r="AE52" s="31">
        <f t="shared" si="6"/>
        <v>0</v>
      </c>
    </row>
    <row r="53" spans="1:31" ht="15" thickTop="1">
      <c r="A53" s="63">
        <v>15</v>
      </c>
      <c r="C53" s="48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47"/>
      <c r="AD53" s="31">
        <f t="shared" si="5"/>
        <v>0</v>
      </c>
      <c r="AE53" s="31">
        <f t="shared" si="6"/>
        <v>0</v>
      </c>
    </row>
    <row r="54" spans="1:31">
      <c r="A54" s="63"/>
      <c r="C54" s="4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4"/>
      <c r="AD54" s="31">
        <f t="shared" si="5"/>
        <v>0</v>
      </c>
      <c r="AE54" s="31">
        <f t="shared" si="6"/>
        <v>0</v>
      </c>
    </row>
    <row r="55" spans="1:31" ht="15" thickBot="1">
      <c r="A55" s="63"/>
      <c r="C55" s="45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46"/>
      <c r="AD55" s="31">
        <f t="shared" si="5"/>
        <v>0</v>
      </c>
      <c r="AE55" s="31">
        <f t="shared" si="6"/>
        <v>0</v>
      </c>
    </row>
    <row r="56" spans="1:31" ht="15" thickTop="1">
      <c r="A56" s="63">
        <v>16</v>
      </c>
      <c r="C56" s="48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47"/>
      <c r="AD56" s="31">
        <f t="shared" si="5"/>
        <v>0</v>
      </c>
      <c r="AE56" s="31">
        <f t="shared" si="6"/>
        <v>0</v>
      </c>
    </row>
    <row r="57" spans="1:31">
      <c r="A57" s="63"/>
      <c r="C57" s="43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4"/>
      <c r="AD57" s="31">
        <f t="shared" si="5"/>
        <v>0</v>
      </c>
      <c r="AE57" s="31">
        <f t="shared" si="6"/>
        <v>0</v>
      </c>
    </row>
    <row r="58" spans="1:31" ht="15" thickBot="1">
      <c r="A58" s="63"/>
      <c r="C58" s="45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46"/>
      <c r="AD58" s="31">
        <f t="shared" si="5"/>
        <v>0</v>
      </c>
      <c r="AE58" s="31">
        <f t="shared" si="6"/>
        <v>0</v>
      </c>
    </row>
    <row r="59" spans="1:31" ht="15" thickTop="1">
      <c r="A59" s="63">
        <v>17</v>
      </c>
      <c r="C59" s="48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47"/>
      <c r="AD59" s="31">
        <f t="shared" si="5"/>
        <v>0</v>
      </c>
      <c r="AE59" s="31">
        <f t="shared" si="6"/>
        <v>0</v>
      </c>
    </row>
    <row r="60" spans="1:31">
      <c r="A60" s="63"/>
      <c r="C60" s="43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4"/>
      <c r="AD60" s="31">
        <f t="shared" si="5"/>
        <v>0</v>
      </c>
      <c r="AE60" s="31">
        <f t="shared" si="6"/>
        <v>0</v>
      </c>
    </row>
    <row r="61" spans="1:31" ht="15" thickBot="1">
      <c r="A61" s="63"/>
      <c r="C61" s="45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46"/>
      <c r="AD61" s="31">
        <f t="shared" si="5"/>
        <v>0</v>
      </c>
      <c r="AE61" s="31">
        <f t="shared" si="6"/>
        <v>0</v>
      </c>
    </row>
    <row r="62" spans="1:31" ht="15" thickTop="1">
      <c r="A62" s="63">
        <v>18</v>
      </c>
      <c r="C62" s="4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47"/>
      <c r="AD62" s="31">
        <f t="shared" si="5"/>
        <v>0</v>
      </c>
      <c r="AE62" s="31">
        <f t="shared" si="6"/>
        <v>0</v>
      </c>
    </row>
    <row r="63" spans="1:31">
      <c r="A63" s="63"/>
      <c r="C63" s="43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4"/>
      <c r="AD63" s="31">
        <f t="shared" si="5"/>
        <v>0</v>
      </c>
      <c r="AE63" s="31">
        <f t="shared" si="6"/>
        <v>0</v>
      </c>
    </row>
    <row r="64" spans="1:31" ht="15" thickBot="1">
      <c r="A64" s="63"/>
      <c r="C64" s="45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46"/>
      <c r="AD64" s="31">
        <f t="shared" si="5"/>
        <v>0</v>
      </c>
      <c r="AE64" s="31">
        <f t="shared" si="6"/>
        <v>0</v>
      </c>
    </row>
    <row r="65" spans="1:31" ht="15" thickTop="1">
      <c r="A65" s="63">
        <v>19</v>
      </c>
      <c r="C65" s="48">
        <v>1</v>
      </c>
      <c r="D65" s="5">
        <v>1</v>
      </c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>
        <v>1</v>
      </c>
      <c r="Q65" s="5"/>
      <c r="R65" s="5"/>
      <c r="S65" s="5">
        <v>1</v>
      </c>
      <c r="T65" s="5"/>
      <c r="U65" s="5"/>
      <c r="V65" s="5">
        <v>1</v>
      </c>
      <c r="W65" s="5"/>
      <c r="X65" s="5"/>
      <c r="Y65" s="5"/>
      <c r="Z65" s="5"/>
      <c r="AA65" s="5"/>
      <c r="AB65" s="5"/>
      <c r="AC65" s="47"/>
      <c r="AD65" s="31">
        <f t="shared" si="5"/>
        <v>5</v>
      </c>
      <c r="AE65" s="31">
        <f t="shared" si="6"/>
        <v>2</v>
      </c>
    </row>
    <row r="66" spans="1:31">
      <c r="A66" s="63"/>
      <c r="C66" s="43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4"/>
      <c r="AD66" s="31">
        <f t="shared" si="5"/>
        <v>0</v>
      </c>
      <c r="AE66" s="31">
        <f t="shared" si="6"/>
        <v>0</v>
      </c>
    </row>
    <row r="67" spans="1:31" ht="15" thickBot="1">
      <c r="A67" s="63"/>
      <c r="C67" s="45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46"/>
      <c r="AD67" s="31">
        <f t="shared" si="5"/>
        <v>0</v>
      </c>
      <c r="AE67" s="31">
        <f t="shared" si="6"/>
        <v>0</v>
      </c>
    </row>
    <row r="68" spans="1:31" ht="15" thickTop="1">
      <c r="A68" s="63">
        <v>20</v>
      </c>
      <c r="C68" s="4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47"/>
      <c r="AD68" s="31">
        <f t="shared" si="5"/>
        <v>0</v>
      </c>
      <c r="AE68" s="31">
        <f t="shared" si="6"/>
        <v>0</v>
      </c>
    </row>
    <row r="69" spans="1:31">
      <c r="A69" s="63"/>
      <c r="C69" s="43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4"/>
      <c r="AD69" s="31">
        <f t="shared" si="5"/>
        <v>0</v>
      </c>
      <c r="AE69" s="31">
        <f t="shared" si="6"/>
        <v>0</v>
      </c>
    </row>
    <row r="70" spans="1:31" ht="15" thickBot="1">
      <c r="A70" s="63"/>
      <c r="C70" s="45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46"/>
      <c r="AD70" s="31">
        <f t="shared" si="5"/>
        <v>0</v>
      </c>
      <c r="AE70" s="31">
        <f t="shared" si="6"/>
        <v>0</v>
      </c>
    </row>
    <row r="71" spans="1:31" ht="15" thickTop="1">
      <c r="A71" s="63">
        <v>21</v>
      </c>
      <c r="C71" s="4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47"/>
      <c r="AD71" s="31">
        <f t="shared" si="5"/>
        <v>0</v>
      </c>
      <c r="AE71" s="31">
        <f t="shared" si="6"/>
        <v>0</v>
      </c>
    </row>
    <row r="72" spans="1:31">
      <c r="A72" s="63"/>
      <c r="C72" s="43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4"/>
      <c r="AD72" s="31">
        <f t="shared" si="5"/>
        <v>0</v>
      </c>
      <c r="AE72" s="31">
        <f t="shared" si="6"/>
        <v>0</v>
      </c>
    </row>
    <row r="73" spans="1:31" ht="15" thickBot="1">
      <c r="A73" s="63"/>
      <c r="C73" s="45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46"/>
      <c r="AD73" s="31">
        <f t="shared" si="5"/>
        <v>0</v>
      </c>
      <c r="AE73" s="31">
        <f t="shared" si="6"/>
        <v>0</v>
      </c>
    </row>
    <row r="74" spans="1:31" ht="15" thickTop="1">
      <c r="A74" s="63">
        <v>22</v>
      </c>
      <c r="C74" s="4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47"/>
      <c r="AD74" s="31">
        <f t="shared" si="5"/>
        <v>0</v>
      </c>
      <c r="AE74" s="31">
        <f t="shared" si="6"/>
        <v>0</v>
      </c>
    </row>
    <row r="75" spans="1:31">
      <c r="A75" s="63"/>
      <c r="C75" s="43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4"/>
      <c r="AD75" s="31">
        <f t="shared" si="5"/>
        <v>0</v>
      </c>
      <c r="AE75" s="31">
        <f t="shared" si="6"/>
        <v>0</v>
      </c>
    </row>
    <row r="76" spans="1:31" ht="15" thickBot="1">
      <c r="A76" s="63"/>
      <c r="C76" s="45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46"/>
      <c r="AD76" s="31">
        <f t="shared" ref="AD76:AD103" si="7">SUM(C76:AC76)</f>
        <v>0</v>
      </c>
      <c r="AE76" s="31">
        <f t="shared" ref="AE76:AE103" si="8">SUM(J76:U76)</f>
        <v>0</v>
      </c>
    </row>
    <row r="77" spans="1:31" ht="15" thickTop="1">
      <c r="A77" s="63">
        <v>23</v>
      </c>
      <c r="C77" s="4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>
        <v>1</v>
      </c>
      <c r="U77" s="5"/>
      <c r="V77" s="5"/>
      <c r="W77" s="5"/>
      <c r="X77" s="5"/>
      <c r="Y77" s="5"/>
      <c r="Z77" s="5"/>
      <c r="AA77" s="5"/>
      <c r="AB77" s="5"/>
      <c r="AC77" s="47"/>
      <c r="AD77" s="31">
        <f t="shared" si="7"/>
        <v>1</v>
      </c>
      <c r="AE77" s="31">
        <f t="shared" si="8"/>
        <v>1</v>
      </c>
    </row>
    <row r="78" spans="1:31">
      <c r="A78" s="63"/>
      <c r="C78" s="43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4"/>
      <c r="AD78" s="31">
        <f t="shared" si="7"/>
        <v>0</v>
      </c>
      <c r="AE78" s="31">
        <f t="shared" si="8"/>
        <v>0</v>
      </c>
    </row>
    <row r="79" spans="1:31" ht="15" thickBot="1">
      <c r="A79" s="63"/>
      <c r="C79" s="45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46"/>
      <c r="AD79" s="31">
        <f t="shared" si="7"/>
        <v>0</v>
      </c>
      <c r="AE79" s="31">
        <f t="shared" si="8"/>
        <v>0</v>
      </c>
    </row>
    <row r="80" spans="1:31" ht="15" thickTop="1">
      <c r="A80" s="63">
        <v>24</v>
      </c>
      <c r="C80" s="4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47"/>
      <c r="AD80" s="31">
        <f t="shared" si="7"/>
        <v>0</v>
      </c>
      <c r="AE80" s="31">
        <f t="shared" si="8"/>
        <v>0</v>
      </c>
    </row>
    <row r="81" spans="1:31">
      <c r="A81" s="63"/>
      <c r="C81" s="43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4"/>
      <c r="AD81" s="31">
        <f t="shared" si="7"/>
        <v>0</v>
      </c>
      <c r="AE81" s="31">
        <f t="shared" si="8"/>
        <v>0</v>
      </c>
    </row>
    <row r="82" spans="1:31" ht="15" thickBot="1">
      <c r="A82" s="63"/>
      <c r="C82" s="45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46"/>
      <c r="AD82" s="31">
        <f t="shared" si="7"/>
        <v>0</v>
      </c>
      <c r="AE82" s="31">
        <f t="shared" si="8"/>
        <v>0</v>
      </c>
    </row>
    <row r="83" spans="1:31" ht="15" thickTop="1">
      <c r="A83" s="63">
        <v>25</v>
      </c>
      <c r="C83" s="4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47"/>
      <c r="AD83" s="31">
        <f t="shared" si="7"/>
        <v>0</v>
      </c>
      <c r="AE83" s="31">
        <f t="shared" si="8"/>
        <v>0</v>
      </c>
    </row>
    <row r="84" spans="1:31">
      <c r="A84" s="63"/>
      <c r="C84" s="43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4"/>
      <c r="AD84" s="31">
        <f t="shared" si="7"/>
        <v>0</v>
      </c>
      <c r="AE84" s="31">
        <f t="shared" si="8"/>
        <v>0</v>
      </c>
    </row>
    <row r="85" spans="1:31" ht="15" thickBot="1">
      <c r="A85" s="63"/>
      <c r="C85" s="45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46"/>
      <c r="AD85" s="31">
        <f t="shared" si="7"/>
        <v>0</v>
      </c>
      <c r="AE85" s="31">
        <f t="shared" si="8"/>
        <v>0</v>
      </c>
    </row>
    <row r="86" spans="1:31" ht="15" thickTop="1">
      <c r="A86" s="63">
        <v>26</v>
      </c>
      <c r="C86" s="4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47"/>
      <c r="AD86" s="31">
        <f t="shared" si="7"/>
        <v>0</v>
      </c>
      <c r="AE86" s="31">
        <f t="shared" si="8"/>
        <v>0</v>
      </c>
    </row>
    <row r="87" spans="1:31">
      <c r="A87" s="63"/>
      <c r="C87" s="43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4"/>
      <c r="AD87" s="31">
        <f t="shared" si="7"/>
        <v>0</v>
      </c>
      <c r="AE87" s="31">
        <f t="shared" si="8"/>
        <v>0</v>
      </c>
    </row>
    <row r="88" spans="1:31" ht="15" thickBot="1">
      <c r="A88" s="63"/>
      <c r="C88" s="45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46"/>
      <c r="AD88" s="31">
        <f t="shared" si="7"/>
        <v>0</v>
      </c>
      <c r="AE88" s="31">
        <f t="shared" si="8"/>
        <v>0</v>
      </c>
    </row>
    <row r="89" spans="1:31" ht="15" thickTop="1">
      <c r="A89" s="63">
        <v>27</v>
      </c>
      <c r="C89" s="4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47"/>
      <c r="AD89" s="31">
        <f t="shared" si="7"/>
        <v>0</v>
      </c>
      <c r="AE89" s="31">
        <f t="shared" si="8"/>
        <v>0</v>
      </c>
    </row>
    <row r="90" spans="1:31">
      <c r="A90" s="63"/>
      <c r="C90" s="43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4"/>
      <c r="AD90" s="31">
        <f t="shared" si="7"/>
        <v>0</v>
      </c>
      <c r="AE90" s="31">
        <f t="shared" si="8"/>
        <v>0</v>
      </c>
    </row>
    <row r="91" spans="1:31" ht="15" thickBot="1">
      <c r="A91" s="63"/>
      <c r="C91" s="45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46"/>
      <c r="AD91" s="31">
        <f t="shared" si="7"/>
        <v>0</v>
      </c>
      <c r="AE91" s="31">
        <f t="shared" si="8"/>
        <v>0</v>
      </c>
    </row>
    <row r="92" spans="1:31" ht="15" thickTop="1">
      <c r="A92" s="63">
        <v>28</v>
      </c>
      <c r="C92" s="48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47"/>
      <c r="AD92" s="31">
        <f t="shared" si="7"/>
        <v>0</v>
      </c>
      <c r="AE92" s="31">
        <f t="shared" si="8"/>
        <v>0</v>
      </c>
    </row>
    <row r="93" spans="1:31">
      <c r="A93" s="63"/>
      <c r="C93" s="43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4"/>
      <c r="AD93" s="31">
        <f t="shared" si="7"/>
        <v>0</v>
      </c>
      <c r="AE93" s="31">
        <f t="shared" si="8"/>
        <v>0</v>
      </c>
    </row>
    <row r="94" spans="1:31" ht="15" thickBot="1">
      <c r="A94" s="63"/>
      <c r="C94" s="45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>
        <v>1</v>
      </c>
      <c r="AB94" s="7"/>
      <c r="AC94" s="46"/>
      <c r="AD94" s="31">
        <f t="shared" si="7"/>
        <v>1</v>
      </c>
      <c r="AE94" s="31">
        <f t="shared" si="8"/>
        <v>0</v>
      </c>
    </row>
    <row r="95" spans="1:31" ht="15" thickTop="1">
      <c r="A95" s="63">
        <v>29</v>
      </c>
      <c r="C95" s="4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47"/>
      <c r="AD95" s="31">
        <f t="shared" si="7"/>
        <v>0</v>
      </c>
      <c r="AE95" s="31">
        <f t="shared" si="8"/>
        <v>0</v>
      </c>
    </row>
    <row r="96" spans="1:31">
      <c r="A96" s="63"/>
      <c r="C96" s="43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4"/>
      <c r="AD96" s="31">
        <f t="shared" si="7"/>
        <v>0</v>
      </c>
      <c r="AE96" s="31">
        <f t="shared" si="8"/>
        <v>0</v>
      </c>
    </row>
    <row r="97" spans="1:31" ht="15" thickBot="1">
      <c r="A97" s="63"/>
      <c r="C97" s="45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46"/>
      <c r="AD97" s="31">
        <f t="shared" si="7"/>
        <v>0</v>
      </c>
      <c r="AE97" s="31">
        <f t="shared" si="8"/>
        <v>0</v>
      </c>
    </row>
    <row r="98" spans="1:31" ht="15" thickTop="1">
      <c r="A98" s="63">
        <v>30</v>
      </c>
      <c r="C98" s="48">
        <v>1</v>
      </c>
      <c r="D98" s="5"/>
      <c r="E98" s="5"/>
      <c r="F98" s="5"/>
      <c r="G98" s="5"/>
      <c r="H98" s="5">
        <v>1</v>
      </c>
      <c r="I98" s="5"/>
      <c r="J98" s="5"/>
      <c r="K98" s="5"/>
      <c r="L98" s="5"/>
      <c r="M98" s="5"/>
      <c r="N98" s="5"/>
      <c r="O98" s="5"/>
      <c r="P98" s="5"/>
      <c r="Q98" s="5"/>
      <c r="R98" s="5">
        <v>1</v>
      </c>
      <c r="S98" s="5"/>
      <c r="T98" s="5"/>
      <c r="U98" s="5"/>
      <c r="V98" s="5">
        <v>1</v>
      </c>
      <c r="W98" s="5"/>
      <c r="X98" s="5"/>
      <c r="Y98" s="5"/>
      <c r="Z98" s="5"/>
      <c r="AA98" s="5"/>
      <c r="AB98" s="5"/>
      <c r="AC98" s="47"/>
      <c r="AD98" s="31">
        <f t="shared" si="7"/>
        <v>4</v>
      </c>
      <c r="AE98" s="31">
        <f t="shared" si="8"/>
        <v>1</v>
      </c>
    </row>
    <row r="99" spans="1:31">
      <c r="A99" s="63"/>
      <c r="C99" s="43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4"/>
      <c r="AD99" s="31">
        <f t="shared" si="7"/>
        <v>0</v>
      </c>
      <c r="AE99" s="31">
        <f t="shared" si="8"/>
        <v>0</v>
      </c>
    </row>
    <row r="100" spans="1:31" ht="15" thickBot="1">
      <c r="A100" s="63"/>
      <c r="C100" s="45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>
        <v>1</v>
      </c>
      <c r="AB100" s="7">
        <v>2</v>
      </c>
      <c r="AC100" s="46"/>
      <c r="AD100" s="31">
        <f t="shared" si="7"/>
        <v>3</v>
      </c>
      <c r="AE100" s="31">
        <f t="shared" si="8"/>
        <v>0</v>
      </c>
    </row>
    <row r="101" spans="1:31" ht="15" thickTop="1">
      <c r="A101" s="63">
        <v>31</v>
      </c>
      <c r="C101" s="4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47"/>
      <c r="AD101" s="31">
        <f t="shared" si="7"/>
        <v>0</v>
      </c>
      <c r="AE101" s="31">
        <f t="shared" si="8"/>
        <v>0</v>
      </c>
    </row>
    <row r="102" spans="1:31">
      <c r="A102" s="63"/>
      <c r="C102" s="43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4"/>
      <c r="AD102" s="31">
        <f t="shared" si="7"/>
        <v>0</v>
      </c>
      <c r="AE102" s="31">
        <f t="shared" si="8"/>
        <v>0</v>
      </c>
    </row>
    <row r="103" spans="1:31" ht="15" thickBot="1">
      <c r="A103" s="63"/>
      <c r="C103" s="45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46"/>
      <c r="AD103" s="31">
        <f t="shared" si="7"/>
        <v>0</v>
      </c>
      <c r="AE103" s="31">
        <f t="shared" si="8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18" priority="1">
      <formula>OR(CELL("col")=COLUMN(),CELL("row")=ROW())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D0F5C-ABB1-452E-A133-220A21373AC4}">
  <sheetPr codeName="Sheet5"/>
  <dimension ref="A1:AF104"/>
  <sheetViews>
    <sheetView rightToLeft="1" zoomScale="60" zoomScaleNormal="60" workbookViewId="0">
      <pane xSplit="1" ySplit="10" topLeftCell="B69" activePane="bottomRight" state="frozen"/>
      <selection pane="topRight" activeCell="B1" sqref="B1"/>
      <selection pane="bottomLeft" activeCell="A10" sqref="A10"/>
      <selection pane="bottomRight" activeCell="V81" sqref="V81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47</v>
      </c>
      <c r="B6" s="5" t="s">
        <v>41</v>
      </c>
      <c r="C6" s="5">
        <f>SUM(C11,C14,C17,C20,C23,C26,C29,C32,C35,C38,C41,C44,C47,C50,C53,C56,C59,C62,C65,C68,C71,C74,C77,C80,C83,C86,C89,C92,C95,C98,C101)</f>
        <v>0</v>
      </c>
      <c r="D6" s="5">
        <f t="shared" ref="D6:AC8" si="0">SUM(D11,D14,D17,D20,D23,D26,D29,D32,D35,D38,D41,D44,D47,D50,D53,D56,D59,D62,D65,D68,D71,D74,D77,D80,D83,D86,D89,D92,D95,D98,D101)</f>
        <v>7</v>
      </c>
      <c r="E6" s="5">
        <f t="shared" si="0"/>
        <v>0</v>
      </c>
      <c r="F6" s="5">
        <f t="shared" si="0"/>
        <v>0</v>
      </c>
      <c r="G6" s="5">
        <f t="shared" si="0"/>
        <v>0</v>
      </c>
      <c r="H6" s="5">
        <f t="shared" si="0"/>
        <v>1</v>
      </c>
      <c r="I6" s="5">
        <f t="shared" si="0"/>
        <v>0</v>
      </c>
      <c r="J6" s="5">
        <f t="shared" si="0"/>
        <v>0</v>
      </c>
      <c r="K6" s="5">
        <f t="shared" si="0"/>
        <v>0</v>
      </c>
      <c r="L6" s="5">
        <f t="shared" si="0"/>
        <v>0</v>
      </c>
      <c r="M6" s="5">
        <f t="shared" si="0"/>
        <v>1</v>
      </c>
      <c r="N6" s="5">
        <f t="shared" si="0"/>
        <v>0</v>
      </c>
      <c r="O6" s="5">
        <f t="shared" si="0"/>
        <v>0</v>
      </c>
      <c r="P6" s="5">
        <f t="shared" si="0"/>
        <v>3</v>
      </c>
      <c r="Q6" s="5">
        <f t="shared" si="0"/>
        <v>1</v>
      </c>
      <c r="R6" s="5">
        <f t="shared" si="0"/>
        <v>0</v>
      </c>
      <c r="S6" s="5">
        <f t="shared" si="0"/>
        <v>1</v>
      </c>
      <c r="T6" s="5">
        <f t="shared" si="0"/>
        <v>1</v>
      </c>
      <c r="U6" s="5">
        <f t="shared" si="0"/>
        <v>1</v>
      </c>
      <c r="V6" s="5">
        <f t="shared" si="0"/>
        <v>28</v>
      </c>
      <c r="W6" s="5">
        <f t="shared" si="0"/>
        <v>1</v>
      </c>
      <c r="X6" s="5">
        <f t="shared" si="0"/>
        <v>4</v>
      </c>
      <c r="Y6" s="5">
        <f t="shared" si="0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5">
        <f t="shared" si="0"/>
        <v>0</v>
      </c>
      <c r="AD6" s="5">
        <f>SUM(C6:AC6)</f>
        <v>49</v>
      </c>
      <c r="AE6" s="5">
        <f>SUM(J6:U6)</f>
        <v>8</v>
      </c>
      <c r="AF6" s="78">
        <f>(AE6+AE7+AE8)/(AD6+AD7+AD8-Z9)*100</f>
        <v>16.326530612244898</v>
      </c>
    </row>
    <row r="7" spans="1:32" ht="22.5" customHeight="1">
      <c r="A7" s="95"/>
      <c r="B7" s="4" t="s">
        <v>42</v>
      </c>
      <c r="C7" s="27">
        <f t="shared" ref="C7:R8" si="1">SUM(C12,C15,C18,C21,C24,C27,C30,C33,C36,C39,C42,C45,C48,C51,C54,C57,C60,C63,C66,C69,C72,C75,C78,C81,C84,C87,C90,C93,C96,C99,C102)</f>
        <v>0</v>
      </c>
      <c r="D7" s="27">
        <f t="shared" si="1"/>
        <v>0</v>
      </c>
      <c r="E7" s="27">
        <f t="shared" si="1"/>
        <v>0</v>
      </c>
      <c r="F7" s="27">
        <f t="shared" si="1"/>
        <v>0</v>
      </c>
      <c r="G7" s="27">
        <f t="shared" si="1"/>
        <v>0</v>
      </c>
      <c r="H7" s="27">
        <f t="shared" si="1"/>
        <v>0</v>
      </c>
      <c r="I7" s="27">
        <f t="shared" si="1"/>
        <v>0</v>
      </c>
      <c r="J7" s="27">
        <f t="shared" si="1"/>
        <v>0</v>
      </c>
      <c r="K7" s="27">
        <f t="shared" si="1"/>
        <v>0</v>
      </c>
      <c r="L7" s="27">
        <f t="shared" si="1"/>
        <v>0</v>
      </c>
      <c r="M7" s="27">
        <f t="shared" si="1"/>
        <v>0</v>
      </c>
      <c r="N7" s="27">
        <f t="shared" si="1"/>
        <v>0</v>
      </c>
      <c r="O7" s="27">
        <f t="shared" si="1"/>
        <v>0</v>
      </c>
      <c r="P7" s="27">
        <f t="shared" si="1"/>
        <v>0</v>
      </c>
      <c r="Q7" s="27">
        <f t="shared" si="1"/>
        <v>0</v>
      </c>
      <c r="R7" s="27">
        <f t="shared" si="1"/>
        <v>0</v>
      </c>
      <c r="S7" s="27">
        <f t="shared" si="0"/>
        <v>0</v>
      </c>
      <c r="T7" s="27">
        <f t="shared" si="0"/>
        <v>0</v>
      </c>
      <c r="U7" s="27">
        <f t="shared" si="0"/>
        <v>0</v>
      </c>
      <c r="V7" s="27">
        <f t="shared" si="0"/>
        <v>0</v>
      </c>
      <c r="W7" s="27">
        <f t="shared" si="0"/>
        <v>0</v>
      </c>
      <c r="X7" s="27">
        <f t="shared" si="0"/>
        <v>0</v>
      </c>
      <c r="Y7" s="27">
        <f t="shared" si="0"/>
        <v>0</v>
      </c>
      <c r="Z7" s="51">
        <f t="shared" si="0"/>
        <v>0</v>
      </c>
      <c r="AA7" s="51">
        <f t="shared" si="0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27">
        <f t="shared" si="0"/>
        <v>0</v>
      </c>
      <c r="AD7" s="4">
        <f t="shared" ref="AD7:AD8" si="2">SUM(C7:AC7)</f>
        <v>0</v>
      </c>
      <c r="AE7" s="4">
        <f t="shared" ref="AE7:AE8" si="3">SUM(J7:U7)</f>
        <v>0</v>
      </c>
      <c r="AF7" s="78"/>
    </row>
    <row r="8" spans="1:32" ht="22.5" customHeight="1" thickBot="1">
      <c r="A8" s="96"/>
      <c r="B8" s="7" t="s">
        <v>43</v>
      </c>
      <c r="C8" s="7">
        <f>SUM(C13,C16,C19,C22,C25,C28,C31,C34,C37,C40,C43,C46,C49,C52,C55,C58,C61,C64,C67,C70,C73,C76,C79,C82,C85,C88,C91,C94,C97,C100,C103)</f>
        <v>0</v>
      </c>
      <c r="D8" s="7">
        <f t="shared" si="1"/>
        <v>0</v>
      </c>
      <c r="E8" s="7">
        <f t="shared" si="1"/>
        <v>0</v>
      </c>
      <c r="F8" s="7">
        <f t="shared" si="1"/>
        <v>0</v>
      </c>
      <c r="G8" s="7">
        <f t="shared" si="1"/>
        <v>0</v>
      </c>
      <c r="H8" s="7">
        <f t="shared" si="1"/>
        <v>0</v>
      </c>
      <c r="I8" s="7">
        <f t="shared" si="1"/>
        <v>0</v>
      </c>
      <c r="J8" s="7">
        <f t="shared" si="1"/>
        <v>0</v>
      </c>
      <c r="K8" s="7">
        <f t="shared" si="1"/>
        <v>0</v>
      </c>
      <c r="L8" s="7">
        <f t="shared" si="1"/>
        <v>0</v>
      </c>
      <c r="M8" s="7">
        <f t="shared" si="1"/>
        <v>0</v>
      </c>
      <c r="N8" s="7">
        <f t="shared" si="1"/>
        <v>0</v>
      </c>
      <c r="O8" s="7">
        <f t="shared" si="1"/>
        <v>0</v>
      </c>
      <c r="P8" s="7">
        <f t="shared" si="1"/>
        <v>0</v>
      </c>
      <c r="Q8" s="7">
        <f t="shared" si="1"/>
        <v>0</v>
      </c>
      <c r="R8" s="7">
        <f t="shared" si="1"/>
        <v>0</v>
      </c>
      <c r="S8" s="7">
        <f t="shared" si="0"/>
        <v>0</v>
      </c>
      <c r="T8" s="7">
        <f t="shared" si="0"/>
        <v>0</v>
      </c>
      <c r="U8" s="7">
        <f t="shared" si="0"/>
        <v>0</v>
      </c>
      <c r="V8" s="7">
        <f t="shared" si="0"/>
        <v>0</v>
      </c>
      <c r="W8" s="7">
        <f t="shared" si="0"/>
        <v>0</v>
      </c>
      <c r="X8" s="7">
        <f t="shared" si="0"/>
        <v>0</v>
      </c>
      <c r="Y8" s="7">
        <f t="shared" si="0"/>
        <v>0</v>
      </c>
      <c r="Z8" s="52">
        <f t="shared" si="0"/>
        <v>0</v>
      </c>
      <c r="AA8" s="52">
        <f t="shared" si="0"/>
        <v>0</v>
      </c>
      <c r="AB8" s="52">
        <f>SUM(AB13,AB16,AB19,AB22,AB25,AB28,AB31,AB34,AB37,AB40,AB43,AB46,AB49,AB52,AB55,AB58,AB61,AB64,AB67,AB70,AB73,AB76,AB79,AB82,AB85,AB88,AB91,AB94,AB97,AB100,AB103)</f>
        <v>0</v>
      </c>
      <c r="AC8" s="7">
        <f t="shared" si="0"/>
        <v>0</v>
      </c>
      <c r="AD8" s="7">
        <f t="shared" si="2"/>
        <v>0</v>
      </c>
      <c r="AE8" s="7">
        <f t="shared" si="3"/>
        <v>0</v>
      </c>
      <c r="AF8" s="78"/>
    </row>
    <row r="9" spans="1:32" ht="22.5" customHeight="1" thickTop="1" thickBot="1">
      <c r="A9" s="54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83">
        <f>SUM(Z6:AB8)</f>
        <v>0</v>
      </c>
      <c r="AA9" s="84"/>
      <c r="AB9" s="85"/>
      <c r="AC9" s="31"/>
      <c r="AD9" s="31"/>
      <c r="AE9" s="31"/>
      <c r="AF9" s="53"/>
    </row>
    <row r="10" spans="1:32" ht="15" thickTop="1"/>
    <row r="11" spans="1:32">
      <c r="A11" s="63">
        <v>1</v>
      </c>
      <c r="B11" s="31"/>
      <c r="C11" s="28"/>
      <c r="D11" s="5">
        <v>2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>
        <v>1</v>
      </c>
      <c r="T11" s="5"/>
      <c r="U11" s="5"/>
      <c r="V11" s="5">
        <v>4</v>
      </c>
      <c r="W11" s="5"/>
      <c r="X11" s="5"/>
      <c r="Y11" s="5"/>
      <c r="Z11" s="5"/>
      <c r="AA11" s="5"/>
      <c r="AB11" s="5"/>
      <c r="AC11" s="32"/>
      <c r="AD11" s="40">
        <f>SUM(C11:AC11)</f>
        <v>7</v>
      </c>
      <c r="AE11" s="31">
        <f>SUM(J11:U11)</f>
        <v>1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>SUM(C12:AC12)</f>
        <v>0</v>
      </c>
      <c r="AE12" s="31">
        <f t="shared" ref="AE12:AE75" si="4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ref="AD13:AD76" si="5">SUM(C13:AC13)</f>
        <v>0</v>
      </c>
      <c r="AE13" s="31">
        <f t="shared" si="4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>
        <v>1</v>
      </c>
      <c r="Q14" s="5"/>
      <c r="R14" s="5"/>
      <c r="S14" s="5"/>
      <c r="T14" s="5"/>
      <c r="U14" s="5"/>
      <c r="V14" s="5">
        <v>2</v>
      </c>
      <c r="W14" s="5"/>
      <c r="X14" s="5">
        <v>1</v>
      </c>
      <c r="Y14" s="5"/>
      <c r="Z14" s="5"/>
      <c r="AA14" s="5"/>
      <c r="AB14" s="5"/>
      <c r="AC14" s="32"/>
      <c r="AD14" s="40">
        <f t="shared" si="5"/>
        <v>4</v>
      </c>
      <c r="AE14" s="31">
        <f t="shared" si="4"/>
        <v>1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5"/>
        <v>0</v>
      </c>
      <c r="AE15" s="31">
        <f t="shared" si="4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5"/>
        <v>0</v>
      </c>
      <c r="AE16" s="31">
        <f t="shared" si="4"/>
        <v>0</v>
      </c>
    </row>
    <row r="17" spans="1:31" ht="15" thickTop="1">
      <c r="A17" s="63">
        <v>3</v>
      </c>
      <c r="C17" s="5"/>
      <c r="D17" s="5">
        <v>1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32"/>
      <c r="AD17" s="40">
        <f t="shared" si="5"/>
        <v>1</v>
      </c>
      <c r="AE17" s="31">
        <f t="shared" si="4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5"/>
        <v>0</v>
      </c>
      <c r="AE18" s="31">
        <f t="shared" si="4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5"/>
        <v>0</v>
      </c>
      <c r="AE19" s="31">
        <f t="shared" si="4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>
        <v>1</v>
      </c>
      <c r="R20" s="5"/>
      <c r="S20" s="5"/>
      <c r="T20" s="5">
        <v>1</v>
      </c>
      <c r="U20" s="5"/>
      <c r="V20" s="5">
        <v>3</v>
      </c>
      <c r="W20" s="5"/>
      <c r="X20" s="5"/>
      <c r="Y20" s="5"/>
      <c r="Z20" s="5"/>
      <c r="AA20" s="5"/>
      <c r="AB20" s="5"/>
      <c r="AC20" s="32"/>
      <c r="AD20" s="40">
        <f t="shared" si="5"/>
        <v>5</v>
      </c>
      <c r="AE20" s="31">
        <f t="shared" si="4"/>
        <v>2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5"/>
        <v>0</v>
      </c>
      <c r="AE21" s="31">
        <f t="shared" si="4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5"/>
        <v>0</v>
      </c>
      <c r="AE22" s="31">
        <f t="shared" si="4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5"/>
        <v>0</v>
      </c>
      <c r="AE23" s="31">
        <f t="shared" si="4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5"/>
        <v>0</v>
      </c>
      <c r="AE24" s="31">
        <f t="shared" si="4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5"/>
        <v>0</v>
      </c>
      <c r="AE25" s="31">
        <f t="shared" si="4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5"/>
        <v>0</v>
      </c>
      <c r="AE26" s="31">
        <f t="shared" si="4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5"/>
        <v>0</v>
      </c>
      <c r="AE27" s="31">
        <f t="shared" si="4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5"/>
        <v>0</v>
      </c>
      <c r="AE28" s="31">
        <f t="shared" si="4"/>
        <v>0</v>
      </c>
    </row>
    <row r="29" spans="1:31" ht="15" thickTop="1">
      <c r="A29" s="63">
        <v>7</v>
      </c>
      <c r="C29" s="28"/>
      <c r="D29" s="5">
        <v>1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>
        <v>2</v>
      </c>
      <c r="W29" s="5"/>
      <c r="X29" s="5"/>
      <c r="Y29" s="5"/>
      <c r="Z29" s="5"/>
      <c r="AA29" s="5"/>
      <c r="AB29" s="5"/>
      <c r="AC29" s="32"/>
      <c r="AD29" s="40">
        <f t="shared" si="5"/>
        <v>3</v>
      </c>
      <c r="AE29" s="31">
        <f t="shared" si="4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5"/>
        <v>0</v>
      </c>
      <c r="AE30" s="31">
        <f t="shared" si="4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5"/>
        <v>0</v>
      </c>
      <c r="AE31" s="31">
        <f t="shared" si="4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32"/>
      <c r="AD32" s="40">
        <f t="shared" si="5"/>
        <v>0</v>
      </c>
      <c r="AE32" s="31">
        <f t="shared" si="4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5"/>
        <v>0</v>
      </c>
      <c r="AE33" s="31">
        <f t="shared" si="4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5"/>
        <v>0</v>
      </c>
      <c r="AE34" s="31">
        <f t="shared" si="4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2"/>
      <c r="AD35" s="40">
        <f t="shared" si="5"/>
        <v>0</v>
      </c>
      <c r="AE35" s="31">
        <f t="shared" si="4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5"/>
        <v>0</v>
      </c>
      <c r="AE36" s="31">
        <f t="shared" si="4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5"/>
        <v>0</v>
      </c>
      <c r="AE37" s="31">
        <f t="shared" si="4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>
        <v>1</v>
      </c>
      <c r="V38" s="5"/>
      <c r="W38" s="5"/>
      <c r="X38" s="5"/>
      <c r="Y38" s="5"/>
      <c r="Z38" s="5"/>
      <c r="AA38" s="5"/>
      <c r="AB38" s="5"/>
      <c r="AC38" s="32"/>
      <c r="AD38" s="40">
        <f t="shared" si="5"/>
        <v>1</v>
      </c>
      <c r="AE38" s="31">
        <f t="shared" si="4"/>
        <v>1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5"/>
        <v>0</v>
      </c>
      <c r="AE39" s="31">
        <f t="shared" si="4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5"/>
        <v>0</v>
      </c>
      <c r="AE40" s="31">
        <f t="shared" si="4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>
        <v>1</v>
      </c>
      <c r="W41" s="5"/>
      <c r="X41" s="5"/>
      <c r="Y41" s="5"/>
      <c r="Z41" s="5"/>
      <c r="AA41" s="5"/>
      <c r="AB41" s="5"/>
      <c r="AC41" s="32"/>
      <c r="AD41" s="40">
        <f t="shared" si="5"/>
        <v>1</v>
      </c>
      <c r="AE41" s="31">
        <f t="shared" si="4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5"/>
        <v>0</v>
      </c>
      <c r="AE42" s="31">
        <f t="shared" si="4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5"/>
        <v>0</v>
      </c>
      <c r="AE43" s="31">
        <f t="shared" si="4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>
        <v>1</v>
      </c>
      <c r="W44" s="5"/>
      <c r="X44" s="5"/>
      <c r="Y44" s="5"/>
      <c r="Z44" s="5"/>
      <c r="AA44" s="5"/>
      <c r="AB44" s="5"/>
      <c r="AC44" s="32"/>
      <c r="AD44" s="40">
        <f t="shared" si="5"/>
        <v>1</v>
      </c>
      <c r="AE44" s="31">
        <f t="shared" si="4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5"/>
        <v>0</v>
      </c>
      <c r="AE45" s="31">
        <f t="shared" si="4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5"/>
        <v>0</v>
      </c>
      <c r="AE46" s="31">
        <f t="shared" si="4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5"/>
        <v>0</v>
      </c>
      <c r="AE47" s="31">
        <f t="shared" si="4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5"/>
        <v>0</v>
      </c>
      <c r="AE48" s="31">
        <f t="shared" si="4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5"/>
        <v>0</v>
      </c>
      <c r="AE49" s="31">
        <f t="shared" si="4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5"/>
        <v>0</v>
      </c>
      <c r="AE50" s="31">
        <f t="shared" si="4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5"/>
        <v>0</v>
      </c>
      <c r="AE51" s="31">
        <f t="shared" si="4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5"/>
        <v>0</v>
      </c>
      <c r="AE52" s="31">
        <f t="shared" si="4"/>
        <v>0</v>
      </c>
    </row>
    <row r="53" spans="1:31" ht="15" thickTop="1">
      <c r="A53" s="63">
        <v>15</v>
      </c>
      <c r="C53" s="5"/>
      <c r="D53" s="5">
        <v>1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32"/>
      <c r="AD53" s="40">
        <f t="shared" si="5"/>
        <v>1</v>
      </c>
      <c r="AE53" s="31">
        <f t="shared" si="4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5"/>
        <v>0</v>
      </c>
      <c r="AE54" s="31">
        <f t="shared" si="4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5"/>
        <v>0</v>
      </c>
      <c r="AE55" s="31">
        <f t="shared" si="4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>
        <v>2</v>
      </c>
      <c r="W56" s="5">
        <v>1</v>
      </c>
      <c r="X56" s="5"/>
      <c r="Y56" s="5"/>
      <c r="Z56" s="5"/>
      <c r="AA56" s="5"/>
      <c r="AB56" s="5"/>
      <c r="AC56" s="32"/>
      <c r="AD56" s="40">
        <f t="shared" si="5"/>
        <v>3</v>
      </c>
      <c r="AE56" s="31">
        <f t="shared" si="4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5"/>
        <v>0</v>
      </c>
      <c r="AE57" s="31">
        <f t="shared" si="4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5"/>
        <v>0</v>
      </c>
      <c r="AE58" s="31">
        <f t="shared" si="4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>
        <v>1</v>
      </c>
      <c r="N59" s="5"/>
      <c r="O59" s="5"/>
      <c r="P59" s="5"/>
      <c r="Q59" s="5"/>
      <c r="R59" s="5"/>
      <c r="S59" s="5"/>
      <c r="T59" s="5"/>
      <c r="U59" s="5"/>
      <c r="V59" s="5">
        <v>3</v>
      </c>
      <c r="W59" s="5"/>
      <c r="X59" s="5">
        <v>1</v>
      </c>
      <c r="Y59" s="5"/>
      <c r="Z59" s="5"/>
      <c r="AA59" s="5"/>
      <c r="AB59" s="5"/>
      <c r="AC59" s="32"/>
      <c r="AD59" s="40">
        <f t="shared" si="5"/>
        <v>5</v>
      </c>
      <c r="AE59" s="31">
        <f t="shared" si="4"/>
        <v>1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5"/>
        <v>0</v>
      </c>
      <c r="AE60" s="31">
        <f t="shared" si="4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5"/>
        <v>0</v>
      </c>
      <c r="AE61" s="31">
        <f t="shared" si="4"/>
        <v>0</v>
      </c>
    </row>
    <row r="62" spans="1:31" ht="15" thickTop="1">
      <c r="A62" s="63">
        <v>18</v>
      </c>
      <c r="C62" s="28"/>
      <c r="D62" s="5">
        <v>1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1</v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5"/>
        <v>2</v>
      </c>
      <c r="AE62" s="31">
        <f t="shared" si="4"/>
        <v>1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5"/>
        <v>0</v>
      </c>
      <c r="AE63" s="31">
        <f t="shared" si="4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5"/>
        <v>0</v>
      </c>
      <c r="AE64" s="31">
        <f t="shared" si="4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5"/>
        <v>0</v>
      </c>
      <c r="AE65" s="31">
        <f t="shared" si="4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5"/>
        <v>0</v>
      </c>
      <c r="AE66" s="31">
        <f t="shared" si="4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5"/>
        <v>0</v>
      </c>
      <c r="AE67" s="31">
        <f t="shared" si="4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5"/>
        <v>0</v>
      </c>
      <c r="AE68" s="31">
        <f t="shared" si="4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5"/>
        <v>0</v>
      </c>
      <c r="AE69" s="31">
        <f t="shared" si="4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5"/>
        <v>0</v>
      </c>
      <c r="AE70" s="31">
        <f t="shared" si="4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>
        <v>1</v>
      </c>
      <c r="W71" s="5"/>
      <c r="X71" s="5"/>
      <c r="Y71" s="5"/>
      <c r="Z71" s="5"/>
      <c r="AA71" s="5"/>
      <c r="AB71" s="5"/>
      <c r="AC71" s="32"/>
      <c r="AD71" s="40">
        <f t="shared" si="5"/>
        <v>1</v>
      </c>
      <c r="AE71" s="31">
        <f t="shared" si="4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5"/>
        <v>0</v>
      </c>
      <c r="AE72" s="31">
        <f t="shared" si="4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5"/>
        <v>0</v>
      </c>
      <c r="AE73" s="31">
        <f t="shared" si="4"/>
        <v>0</v>
      </c>
    </row>
    <row r="74" spans="1:31" ht="15" thickTop="1">
      <c r="A74" s="63">
        <v>22</v>
      </c>
      <c r="C74" s="2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>
        <v>4</v>
      </c>
      <c r="W74" s="5"/>
      <c r="X74" s="5"/>
      <c r="Y74" s="5"/>
      <c r="Z74" s="5"/>
      <c r="AA74" s="5"/>
      <c r="AB74" s="5"/>
      <c r="AC74" s="32"/>
      <c r="AD74" s="40">
        <f t="shared" si="5"/>
        <v>4</v>
      </c>
      <c r="AE74" s="31">
        <f t="shared" si="4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5"/>
        <v>0</v>
      </c>
      <c r="AE75" s="31">
        <f t="shared" si="4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si="5"/>
        <v>0</v>
      </c>
      <c r="AE76" s="31">
        <f t="shared" ref="AE76:AE103" si="6">SUM(J76:U76)</f>
        <v>0</v>
      </c>
    </row>
    <row r="77" spans="1:31" ht="15" thickTop="1">
      <c r="A77" s="63">
        <v>23</v>
      </c>
      <c r="C77" s="2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>
        <v>2</v>
      </c>
      <c r="W77" s="5"/>
      <c r="X77" s="5"/>
      <c r="Y77" s="5"/>
      <c r="Z77" s="5"/>
      <c r="AA77" s="5"/>
      <c r="AB77" s="5"/>
      <c r="AC77" s="32"/>
      <c r="AD77" s="40">
        <f t="shared" ref="AD77:AD103" si="7">SUM(C77:AC77)</f>
        <v>2</v>
      </c>
      <c r="AE77" s="31">
        <f t="shared" si="6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7"/>
        <v>0</v>
      </c>
      <c r="AE78" s="31">
        <f t="shared" si="6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7"/>
        <v>0</v>
      </c>
      <c r="AE79" s="31">
        <f t="shared" si="6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>
        <v>1</v>
      </c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>
        <v>2</v>
      </c>
      <c r="W80" s="5"/>
      <c r="X80" s="5"/>
      <c r="Y80" s="5"/>
      <c r="Z80" s="5"/>
      <c r="AA80" s="5"/>
      <c r="AB80" s="5"/>
      <c r="AC80" s="32"/>
      <c r="AD80" s="40">
        <f t="shared" si="7"/>
        <v>3</v>
      </c>
      <c r="AE80" s="31">
        <f t="shared" si="6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7"/>
        <v>0</v>
      </c>
      <c r="AE81" s="31">
        <f t="shared" si="6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7"/>
        <v>0</v>
      </c>
      <c r="AE82" s="31">
        <f t="shared" si="6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32"/>
      <c r="AD83" s="40">
        <f t="shared" si="7"/>
        <v>0</v>
      </c>
      <c r="AE83" s="31">
        <f t="shared" si="6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7"/>
        <v>0</v>
      </c>
      <c r="AE84" s="31">
        <f t="shared" si="6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7"/>
        <v>0</v>
      </c>
      <c r="AE85" s="31">
        <f t="shared" si="6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7"/>
        <v>0</v>
      </c>
      <c r="AE86" s="31">
        <f t="shared" si="6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7"/>
        <v>0</v>
      </c>
      <c r="AE87" s="31">
        <f t="shared" si="6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7"/>
        <v>0</v>
      </c>
      <c r="AE88" s="31">
        <f t="shared" si="6"/>
        <v>0</v>
      </c>
    </row>
    <row r="89" spans="1:31" ht="15" thickTop="1">
      <c r="A89" s="63">
        <v>27</v>
      </c>
      <c r="C89" s="2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>
        <v>1</v>
      </c>
      <c r="Y89" s="5"/>
      <c r="Z89" s="5"/>
      <c r="AA89" s="5"/>
      <c r="AB89" s="5"/>
      <c r="AC89" s="32"/>
      <c r="AD89" s="40">
        <f t="shared" si="7"/>
        <v>1</v>
      </c>
      <c r="AE89" s="31">
        <f t="shared" si="6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7"/>
        <v>0</v>
      </c>
      <c r="AE90" s="31">
        <f t="shared" si="6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34"/>
      <c r="AD91" s="40">
        <f t="shared" si="7"/>
        <v>0</v>
      </c>
      <c r="AE91" s="31">
        <f t="shared" si="6"/>
        <v>0</v>
      </c>
    </row>
    <row r="92" spans="1:31" ht="15" thickTop="1">
      <c r="A92" s="63">
        <v>28</v>
      </c>
      <c r="C92" s="28"/>
      <c r="D92" s="5">
        <v>1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>
        <v>1</v>
      </c>
      <c r="Q92" s="5"/>
      <c r="R92" s="5"/>
      <c r="S92" s="5"/>
      <c r="T92" s="5"/>
      <c r="U92" s="5"/>
      <c r="V92" s="5">
        <v>1</v>
      </c>
      <c r="W92" s="5"/>
      <c r="X92" s="5">
        <v>1</v>
      </c>
      <c r="Y92" s="5"/>
      <c r="Z92" s="5"/>
      <c r="AA92" s="5"/>
      <c r="AB92" s="5"/>
      <c r="AC92" s="32"/>
      <c r="AD92" s="40">
        <f t="shared" si="7"/>
        <v>4</v>
      </c>
      <c r="AE92" s="31">
        <f t="shared" si="6"/>
        <v>1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7"/>
        <v>0</v>
      </c>
      <c r="AE93" s="31">
        <f t="shared" si="6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7"/>
        <v>0</v>
      </c>
      <c r="AE94" s="31">
        <f t="shared" si="6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7"/>
        <v>0</v>
      </c>
      <c r="AE95" s="31">
        <f t="shared" si="6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7"/>
        <v>0</v>
      </c>
      <c r="AE96" s="31">
        <f t="shared" si="6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7"/>
        <v>0</v>
      </c>
      <c r="AE97" s="31">
        <f t="shared" si="6"/>
        <v>0</v>
      </c>
    </row>
    <row r="98" spans="1:31" ht="15" thickTop="1">
      <c r="A98" s="63">
        <v>30</v>
      </c>
      <c r="C98" s="28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32"/>
      <c r="AD98" s="40">
        <f t="shared" si="7"/>
        <v>0</v>
      </c>
      <c r="AE98" s="31">
        <f t="shared" si="6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7"/>
        <v>0</v>
      </c>
      <c r="AE99" s="31">
        <f t="shared" si="6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7"/>
        <v>0</v>
      </c>
      <c r="AE100" s="31">
        <f t="shared" si="6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7"/>
        <v>0</v>
      </c>
      <c r="AE101" s="31">
        <f t="shared" si="6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7"/>
        <v>0</v>
      </c>
      <c r="AE102" s="31">
        <f t="shared" si="6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7"/>
        <v>0</v>
      </c>
      <c r="AE103" s="31">
        <f t="shared" si="6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17" priority="1">
      <formula>OR(CELL("col")=COLUMN(),CELL("row")=ROW())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F3424-24FF-4A9F-86CF-0538EBADDB6B}">
  <sheetPr codeName="Sheet6"/>
  <dimension ref="A1:AF104"/>
  <sheetViews>
    <sheetView rightToLeft="1" zoomScale="60" zoomScaleNormal="60" workbookViewId="0">
      <pane xSplit="1" ySplit="10" topLeftCell="B71" activePane="bottomRight" state="frozen"/>
      <selection pane="topRight" activeCell="B1" sqref="B1"/>
      <selection pane="bottomLeft" activeCell="A11" sqref="A11"/>
      <selection pane="bottomRight" activeCell="V86" sqref="V86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48</v>
      </c>
      <c r="B6" s="5" t="s">
        <v>41</v>
      </c>
      <c r="C6" s="35">
        <f>SUM(C11,C14,C17,C20,C23,C26,C29,C32,C35,C38,C41,C44,C47,C50,C53,C56,C59,C62,C65,C68,C71,C74,C77,C80,C83,C86,C89,C92,C95,C98,C101)</f>
        <v>0</v>
      </c>
      <c r="D6" s="35">
        <f t="shared" ref="D6:AC6" si="0">SUM(D11,D14,D17,D20,D23,D26,D29,D32,D35,D38,D41,D44,D47,D50,D53,D56,D59,D62,D65,D68,D71,D74,D77,D80,D83,D86,D89,D92,D95,D98,D101)</f>
        <v>2</v>
      </c>
      <c r="E6" s="35">
        <f t="shared" si="0"/>
        <v>0</v>
      </c>
      <c r="F6" s="35">
        <f t="shared" si="0"/>
        <v>0</v>
      </c>
      <c r="G6" s="35">
        <f t="shared" si="0"/>
        <v>0</v>
      </c>
      <c r="H6" s="35">
        <f t="shared" si="0"/>
        <v>0</v>
      </c>
      <c r="I6" s="35">
        <f t="shared" si="0"/>
        <v>0</v>
      </c>
      <c r="J6" s="35">
        <f t="shared" si="0"/>
        <v>1</v>
      </c>
      <c r="K6" s="35">
        <f t="shared" si="0"/>
        <v>0</v>
      </c>
      <c r="L6" s="35">
        <f t="shared" si="0"/>
        <v>0</v>
      </c>
      <c r="M6" s="35">
        <f t="shared" si="0"/>
        <v>0</v>
      </c>
      <c r="N6" s="35">
        <f t="shared" si="0"/>
        <v>0</v>
      </c>
      <c r="O6" s="35">
        <f t="shared" si="0"/>
        <v>0</v>
      </c>
      <c r="P6" s="35">
        <f t="shared" si="0"/>
        <v>0</v>
      </c>
      <c r="Q6" s="35">
        <f t="shared" si="0"/>
        <v>0</v>
      </c>
      <c r="R6" s="35">
        <f t="shared" si="0"/>
        <v>0</v>
      </c>
      <c r="S6" s="35">
        <f t="shared" si="0"/>
        <v>0</v>
      </c>
      <c r="T6" s="35">
        <f t="shared" si="0"/>
        <v>1</v>
      </c>
      <c r="U6" s="35">
        <f>SUM(U11,U14,U17,U20,U23,U26,U29,U32,U35,U38,U41,U44,U47,U50,U53,U56,U59,U62,U65,U68,U71,U74,U77,U80,U83,U86,U89,U92,U95,U98,U101)</f>
        <v>1</v>
      </c>
      <c r="V6" s="35">
        <f t="shared" si="0"/>
        <v>5</v>
      </c>
      <c r="W6" s="35">
        <f t="shared" si="0"/>
        <v>1</v>
      </c>
      <c r="X6" s="35">
        <f t="shared" si="0"/>
        <v>0</v>
      </c>
      <c r="Y6" s="35">
        <f t="shared" si="0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5">
        <f t="shared" si="0"/>
        <v>0</v>
      </c>
      <c r="AD6" s="5">
        <f>SUM(C6:AC6)</f>
        <v>11</v>
      </c>
      <c r="AE6" s="5">
        <f>SUM(J6:U6)</f>
        <v>3</v>
      </c>
      <c r="AF6" s="78">
        <f>(AE6+AE7+AE8)/(AD6+AD7+AD8-Z9)*100</f>
        <v>27.27272727272727</v>
      </c>
    </row>
    <row r="7" spans="1:32" ht="22.5" customHeight="1">
      <c r="A7" s="95"/>
      <c r="B7" s="4" t="s">
        <v>42</v>
      </c>
      <c r="C7" s="4">
        <f>SUM(C12,C15,C18,C21,C24,C27,C30,C33,C36,C39,C42,C45,C48,C51,C54,C57,C60,C63,C66,C69,C72,C75,C78,C81,C84,C87,C90,C93,C96,C99,C102)</f>
        <v>0</v>
      </c>
      <c r="D7" s="4">
        <f t="shared" ref="D7:AC8" si="1">SUM(D12,D15,D18,D21,D24,D27,D30,D33,D36,D39,D42,D45,D48,D51,D54,D57,D60,D63,D66,D69,D72,D75,D78,D81,D84,D87,D90,D93,D96,D99,D102)</f>
        <v>0</v>
      </c>
      <c r="E7" s="4">
        <f t="shared" si="1"/>
        <v>0</v>
      </c>
      <c r="F7" s="4">
        <f t="shared" si="1"/>
        <v>0</v>
      </c>
      <c r="G7" s="4">
        <f t="shared" si="1"/>
        <v>0</v>
      </c>
      <c r="H7" s="4">
        <f t="shared" si="1"/>
        <v>0</v>
      </c>
      <c r="I7" s="4">
        <f t="shared" si="1"/>
        <v>0</v>
      </c>
      <c r="J7" s="4">
        <f t="shared" si="1"/>
        <v>0</v>
      </c>
      <c r="K7" s="4">
        <f t="shared" si="1"/>
        <v>0</v>
      </c>
      <c r="L7" s="4">
        <f t="shared" si="1"/>
        <v>0</v>
      </c>
      <c r="M7" s="4">
        <f t="shared" si="1"/>
        <v>0</v>
      </c>
      <c r="N7" s="4">
        <f t="shared" si="1"/>
        <v>0</v>
      </c>
      <c r="O7" s="4">
        <f t="shared" si="1"/>
        <v>0</v>
      </c>
      <c r="P7" s="4">
        <f t="shared" si="1"/>
        <v>0</v>
      </c>
      <c r="Q7" s="4">
        <f t="shared" si="1"/>
        <v>0</v>
      </c>
      <c r="R7" s="4">
        <f t="shared" si="1"/>
        <v>0</v>
      </c>
      <c r="S7" s="4">
        <f t="shared" si="1"/>
        <v>0</v>
      </c>
      <c r="T7" s="4">
        <f t="shared" si="1"/>
        <v>0</v>
      </c>
      <c r="U7" s="4">
        <f t="shared" si="1"/>
        <v>0</v>
      </c>
      <c r="V7" s="4">
        <f t="shared" si="1"/>
        <v>0</v>
      </c>
      <c r="W7" s="4">
        <f t="shared" si="1"/>
        <v>0</v>
      </c>
      <c r="X7" s="4">
        <f t="shared" si="1"/>
        <v>0</v>
      </c>
      <c r="Y7" s="4">
        <f t="shared" si="1"/>
        <v>0</v>
      </c>
      <c r="Z7" s="51">
        <f t="shared" si="1"/>
        <v>0</v>
      </c>
      <c r="AA7" s="51">
        <f t="shared" si="1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1"/>
        <v>0</v>
      </c>
      <c r="AD7" s="4">
        <f t="shared" ref="AD7:AD8" si="2">SUM(C7:AC7)</f>
        <v>0</v>
      </c>
      <c r="AE7" s="4">
        <f t="shared" ref="AE7:AE8" si="3">SUM(J7:U7)</f>
        <v>0</v>
      </c>
      <c r="AF7" s="78"/>
    </row>
    <row r="8" spans="1:32" ht="22.5" customHeight="1" thickBot="1">
      <c r="A8" s="96"/>
      <c r="B8" s="7" t="s">
        <v>43</v>
      </c>
      <c r="C8" s="7">
        <f>SUM(C13,C16,C19,C22,C25,C28,C31,C34,C37,C40,C43,C46,C49,C52,C55,C58,C61,C64,C67,C70,C73,C76,C79,C82,C85,C88,C91,C94,C97,C100,C103)</f>
        <v>0</v>
      </c>
      <c r="D8" s="7">
        <f t="shared" ref="D8:AC8" si="4">SUM(D13,D16,D19,D22,D25,D28,D31,D34,D37,D40,D43,D46,D49,D52,D55,D58,D61,D64,D67,D70,D73,D76,D79,D82,D85,D88,D91,D94,D97,D100,D103)</f>
        <v>0</v>
      </c>
      <c r="E8" s="7">
        <f t="shared" si="4"/>
        <v>0</v>
      </c>
      <c r="F8" s="7">
        <f t="shared" si="4"/>
        <v>0</v>
      </c>
      <c r="G8" s="7">
        <f t="shared" si="4"/>
        <v>0</v>
      </c>
      <c r="H8" s="7">
        <f t="shared" si="4"/>
        <v>0</v>
      </c>
      <c r="I8" s="7">
        <f t="shared" si="4"/>
        <v>0</v>
      </c>
      <c r="J8" s="7">
        <f t="shared" si="4"/>
        <v>0</v>
      </c>
      <c r="K8" s="7">
        <f t="shared" si="4"/>
        <v>0</v>
      </c>
      <c r="L8" s="7">
        <f t="shared" si="4"/>
        <v>0</v>
      </c>
      <c r="M8" s="7">
        <f t="shared" si="4"/>
        <v>0</v>
      </c>
      <c r="N8" s="7">
        <f t="shared" si="4"/>
        <v>0</v>
      </c>
      <c r="O8" s="7">
        <f t="shared" si="4"/>
        <v>0</v>
      </c>
      <c r="P8" s="7">
        <f t="shared" si="4"/>
        <v>0</v>
      </c>
      <c r="Q8" s="7">
        <f t="shared" si="4"/>
        <v>0</v>
      </c>
      <c r="R8" s="7">
        <f t="shared" si="4"/>
        <v>0</v>
      </c>
      <c r="S8" s="7">
        <f t="shared" si="4"/>
        <v>0</v>
      </c>
      <c r="T8" s="7">
        <f t="shared" si="4"/>
        <v>0</v>
      </c>
      <c r="U8" s="7">
        <f t="shared" si="4"/>
        <v>0</v>
      </c>
      <c r="V8" s="7">
        <f t="shared" si="4"/>
        <v>0</v>
      </c>
      <c r="W8" s="7">
        <f t="shared" si="4"/>
        <v>0</v>
      </c>
      <c r="X8" s="7">
        <f t="shared" si="4"/>
        <v>0</v>
      </c>
      <c r="Y8" s="7">
        <f t="shared" si="4"/>
        <v>0</v>
      </c>
      <c r="Z8" s="52">
        <f t="shared" si="1"/>
        <v>0</v>
      </c>
      <c r="AA8" s="52">
        <f t="shared" si="1"/>
        <v>1</v>
      </c>
      <c r="AB8" s="52">
        <f>SUM(AB13,AB16,AB19,AB22,AB25,AB28,AB31,AB34,AB37,AB40,AB43,AB46,AB49,AB52,AB55,AB58,AB61,AB64,AB67,AB70,AB73,AB76,AB79,AB82,AB85,AB88,AB91,AB94,AB97,AB100,AB103)</f>
        <v>0</v>
      </c>
      <c r="AC8" s="7">
        <f t="shared" si="4"/>
        <v>0</v>
      </c>
      <c r="AD8" s="7">
        <f t="shared" si="2"/>
        <v>1</v>
      </c>
      <c r="AE8" s="7">
        <f t="shared" si="3"/>
        <v>0</v>
      </c>
      <c r="AF8" s="78"/>
    </row>
    <row r="9" spans="1:32" ht="15.5" thickTop="1" thickBot="1">
      <c r="Z9" s="83">
        <f>SUM(Z6:AB8)</f>
        <v>1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32"/>
      <c r="AD11" s="40">
        <f>SUM(C11:AC11)</f>
        <v>0</v>
      </c>
      <c r="AE11" s="31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5">SUM(C12:AC12)</f>
        <v>0</v>
      </c>
      <c r="AE12" s="31">
        <f t="shared" ref="AE12:AE75" si="6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5"/>
        <v>0</v>
      </c>
      <c r="AE13" s="31">
        <f t="shared" si="6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32"/>
      <c r="AD14" s="40">
        <f t="shared" si="5"/>
        <v>0</v>
      </c>
      <c r="AE14" s="31">
        <f t="shared" si="6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5"/>
        <v>0</v>
      </c>
      <c r="AE15" s="31">
        <f t="shared" si="6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5"/>
        <v>0</v>
      </c>
      <c r="AE16" s="31">
        <f t="shared" si="6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32"/>
      <c r="AD17" s="40">
        <f t="shared" si="5"/>
        <v>0</v>
      </c>
      <c r="AE17" s="31">
        <f t="shared" si="6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5"/>
        <v>0</v>
      </c>
      <c r="AE18" s="31">
        <f t="shared" si="6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5"/>
        <v>0</v>
      </c>
      <c r="AE19" s="31">
        <f t="shared" si="6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32"/>
      <c r="AD20" s="40">
        <f t="shared" si="5"/>
        <v>0</v>
      </c>
      <c r="AE20" s="31">
        <f t="shared" si="6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5"/>
        <v>0</v>
      </c>
      <c r="AE21" s="31">
        <f t="shared" si="6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5"/>
        <v>0</v>
      </c>
      <c r="AE22" s="31">
        <f t="shared" si="6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5"/>
        <v>0</v>
      </c>
      <c r="AE23" s="31">
        <f t="shared" si="6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5"/>
        <v>0</v>
      </c>
      <c r="AE24" s="31">
        <f t="shared" si="6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5"/>
        <v>0</v>
      </c>
      <c r="AE25" s="31">
        <f t="shared" si="6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5"/>
        <v>0</v>
      </c>
      <c r="AE26" s="31">
        <f t="shared" si="6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5"/>
        <v>0</v>
      </c>
      <c r="AE27" s="31">
        <f t="shared" si="6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5"/>
        <v>0</v>
      </c>
      <c r="AE28" s="31">
        <f t="shared" si="6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32"/>
      <c r="AD29" s="40">
        <f t="shared" si="5"/>
        <v>0</v>
      </c>
      <c r="AE29" s="31">
        <f t="shared" si="6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5"/>
        <v>0</v>
      </c>
      <c r="AE30" s="31">
        <f t="shared" si="6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5"/>
        <v>0</v>
      </c>
      <c r="AE31" s="31">
        <f t="shared" si="6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32"/>
      <c r="AD32" s="40">
        <f t="shared" si="5"/>
        <v>0</v>
      </c>
      <c r="AE32" s="31">
        <f t="shared" si="6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5"/>
        <v>0</v>
      </c>
      <c r="AE33" s="31">
        <f t="shared" si="6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5"/>
        <v>0</v>
      </c>
      <c r="AE34" s="31">
        <f t="shared" si="6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2"/>
      <c r="AD35" s="40">
        <f t="shared" si="5"/>
        <v>0</v>
      </c>
      <c r="AE35" s="31">
        <f t="shared" si="6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5"/>
        <v>0</v>
      </c>
      <c r="AE36" s="31">
        <f t="shared" si="6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5"/>
        <v>0</v>
      </c>
      <c r="AE37" s="31">
        <f t="shared" si="6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32"/>
      <c r="AD38" s="40">
        <f t="shared" si="5"/>
        <v>0</v>
      </c>
      <c r="AE38" s="31">
        <f t="shared" si="6"/>
        <v>0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5"/>
        <v>0</v>
      </c>
      <c r="AE39" s="31">
        <f t="shared" si="6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5"/>
        <v>0</v>
      </c>
      <c r="AE40" s="31">
        <f t="shared" si="6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32"/>
      <c r="AD41" s="40">
        <f t="shared" si="5"/>
        <v>0</v>
      </c>
      <c r="AE41" s="31">
        <f t="shared" si="6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5"/>
        <v>0</v>
      </c>
      <c r="AE42" s="31">
        <f t="shared" si="6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5"/>
        <v>0</v>
      </c>
      <c r="AE43" s="31">
        <f t="shared" si="6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32"/>
      <c r="AD44" s="40">
        <f t="shared" si="5"/>
        <v>0</v>
      </c>
      <c r="AE44" s="31">
        <f t="shared" si="6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5"/>
        <v>0</v>
      </c>
      <c r="AE45" s="31">
        <f t="shared" si="6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5"/>
        <v>0</v>
      </c>
      <c r="AE46" s="31">
        <f t="shared" si="6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5"/>
        <v>0</v>
      </c>
      <c r="AE47" s="31">
        <f t="shared" si="6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5"/>
        <v>0</v>
      </c>
      <c r="AE48" s="31">
        <f t="shared" si="6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5"/>
        <v>0</v>
      </c>
      <c r="AE49" s="31">
        <f t="shared" si="6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5"/>
        <v>0</v>
      </c>
      <c r="AE50" s="31">
        <f t="shared" si="6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5"/>
        <v>0</v>
      </c>
      <c r="AE51" s="31">
        <f t="shared" si="6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5"/>
        <v>0</v>
      </c>
      <c r="AE52" s="31">
        <f t="shared" si="6"/>
        <v>0</v>
      </c>
    </row>
    <row r="53" spans="1:31" ht="15" thickTop="1">
      <c r="A53" s="63">
        <v>15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32"/>
      <c r="AD53" s="40">
        <f t="shared" si="5"/>
        <v>0</v>
      </c>
      <c r="AE53" s="31">
        <f t="shared" si="6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5"/>
        <v>0</v>
      </c>
      <c r="AE54" s="31">
        <f t="shared" si="6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5"/>
        <v>0</v>
      </c>
      <c r="AE55" s="31">
        <f t="shared" si="6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32"/>
      <c r="AD56" s="40">
        <f t="shared" si="5"/>
        <v>0</v>
      </c>
      <c r="AE56" s="31">
        <f t="shared" si="6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5"/>
        <v>0</v>
      </c>
      <c r="AE57" s="31">
        <f t="shared" si="6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5"/>
        <v>0</v>
      </c>
      <c r="AE58" s="31">
        <f t="shared" si="6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32"/>
      <c r="AD59" s="40">
        <f t="shared" si="5"/>
        <v>0</v>
      </c>
      <c r="AE59" s="31">
        <f t="shared" si="6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5"/>
        <v>0</v>
      </c>
      <c r="AE60" s="31">
        <f t="shared" si="6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5"/>
        <v>0</v>
      </c>
      <c r="AE61" s="31">
        <f t="shared" si="6"/>
        <v>0</v>
      </c>
    </row>
    <row r="62" spans="1:31" ht="15" thickTop="1">
      <c r="A62" s="63">
        <v>18</v>
      </c>
      <c r="C62" s="2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5"/>
        <v>0</v>
      </c>
      <c r="AE62" s="31">
        <f t="shared" si="6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5"/>
        <v>0</v>
      </c>
      <c r="AE63" s="31">
        <f t="shared" si="6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5"/>
        <v>0</v>
      </c>
      <c r="AE64" s="31">
        <f t="shared" si="6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5"/>
        <v>0</v>
      </c>
      <c r="AE65" s="31">
        <f t="shared" si="6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5"/>
        <v>0</v>
      </c>
      <c r="AE66" s="31">
        <f t="shared" si="6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5"/>
        <v>0</v>
      </c>
      <c r="AE67" s="31">
        <f t="shared" si="6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5"/>
        <v>0</v>
      </c>
      <c r="AE68" s="31">
        <f t="shared" si="6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5"/>
        <v>0</v>
      </c>
      <c r="AE69" s="31">
        <f t="shared" si="6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5"/>
        <v>0</v>
      </c>
      <c r="AE70" s="31">
        <f t="shared" si="6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5"/>
        <v>0</v>
      </c>
      <c r="AE71" s="31">
        <f t="shared" si="6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5"/>
        <v>0</v>
      </c>
      <c r="AE72" s="31">
        <f t="shared" si="6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5"/>
        <v>0</v>
      </c>
      <c r="AE73" s="31">
        <f t="shared" si="6"/>
        <v>0</v>
      </c>
    </row>
    <row r="74" spans="1:31" ht="15" thickTop="1">
      <c r="A74" s="63">
        <v>22</v>
      </c>
      <c r="C74" s="2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>
        <v>1</v>
      </c>
      <c r="W74" s="5"/>
      <c r="X74" s="5"/>
      <c r="Y74" s="5"/>
      <c r="Z74" s="5"/>
      <c r="AA74" s="5"/>
      <c r="AB74" s="5"/>
      <c r="AC74" s="32"/>
      <c r="AD74" s="40">
        <f t="shared" si="5"/>
        <v>1</v>
      </c>
      <c r="AE74" s="31">
        <f t="shared" si="6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5"/>
        <v>0</v>
      </c>
      <c r="AE75" s="31">
        <f t="shared" si="6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7">SUM(C76:AC76)</f>
        <v>0</v>
      </c>
      <c r="AE76" s="31">
        <f t="shared" ref="AE76:AE103" si="8">SUM(J76:U76)</f>
        <v>0</v>
      </c>
    </row>
    <row r="77" spans="1:31" ht="15" thickTop="1">
      <c r="A77" s="63">
        <v>23</v>
      </c>
      <c r="C77" s="2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32"/>
      <c r="AD77" s="40">
        <f t="shared" si="7"/>
        <v>0</v>
      </c>
      <c r="AE77" s="31">
        <f t="shared" si="8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7"/>
        <v>0</v>
      </c>
      <c r="AE78" s="31">
        <f t="shared" si="8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7"/>
        <v>0</v>
      </c>
      <c r="AE79" s="31">
        <f t="shared" si="8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32"/>
      <c r="AD80" s="40">
        <f t="shared" si="7"/>
        <v>0</v>
      </c>
      <c r="AE80" s="31">
        <f t="shared" si="8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7"/>
        <v>0</v>
      </c>
      <c r="AE81" s="31">
        <f t="shared" si="8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7"/>
        <v>0</v>
      </c>
      <c r="AE82" s="31">
        <f t="shared" si="8"/>
        <v>0</v>
      </c>
    </row>
    <row r="83" spans="1:31" ht="15" thickTop="1">
      <c r="A83" s="63">
        <v>25</v>
      </c>
      <c r="C83" s="28"/>
      <c r="D83" s="5">
        <v>2</v>
      </c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>
        <v>3</v>
      </c>
      <c r="W83" s="5">
        <v>1</v>
      </c>
      <c r="X83" s="5"/>
      <c r="Y83" s="5"/>
      <c r="Z83" s="5"/>
      <c r="AA83" s="5"/>
      <c r="AB83" s="5"/>
      <c r="AC83" s="32"/>
      <c r="AD83" s="40">
        <f t="shared" si="7"/>
        <v>6</v>
      </c>
      <c r="AE83" s="31">
        <f t="shared" si="8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7"/>
        <v>0</v>
      </c>
      <c r="AE84" s="31">
        <f t="shared" si="8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7"/>
        <v>0</v>
      </c>
      <c r="AE85" s="31">
        <f t="shared" si="8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7"/>
        <v>0</v>
      </c>
      <c r="AE86" s="31">
        <f t="shared" si="8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7"/>
        <v>0</v>
      </c>
      <c r="AE87" s="31">
        <f t="shared" si="8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7"/>
        <v>0</v>
      </c>
      <c r="AE88" s="31">
        <f t="shared" si="8"/>
        <v>0</v>
      </c>
    </row>
    <row r="89" spans="1:31" ht="15" thickTop="1">
      <c r="A89" s="63">
        <v>27</v>
      </c>
      <c r="C89" s="2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/>
      <c r="W89" s="5"/>
      <c r="X89" s="5"/>
      <c r="Y89" s="5"/>
      <c r="Z89" s="5"/>
      <c r="AA89" s="5"/>
      <c r="AB89" s="5"/>
      <c r="AC89" s="32"/>
      <c r="AD89" s="40">
        <f t="shared" si="7"/>
        <v>1</v>
      </c>
      <c r="AE89" s="31">
        <f t="shared" si="8"/>
        <v>1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7"/>
        <v>0</v>
      </c>
      <c r="AE90" s="31">
        <f t="shared" si="8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>
        <v>1</v>
      </c>
      <c r="AB91" s="7"/>
      <c r="AC91" s="34"/>
      <c r="AD91" s="40">
        <f t="shared" si="7"/>
        <v>1</v>
      </c>
      <c r="AE91" s="31">
        <f t="shared" si="8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/>
      <c r="I92" s="5"/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>
        <v>1</v>
      </c>
      <c r="V92" s="5">
        <v>1</v>
      </c>
      <c r="W92" s="5"/>
      <c r="X92" s="5"/>
      <c r="Y92" s="5"/>
      <c r="Z92" s="5"/>
      <c r="AA92" s="5"/>
      <c r="AB92" s="5"/>
      <c r="AC92" s="32"/>
      <c r="AD92" s="40">
        <f t="shared" si="7"/>
        <v>3</v>
      </c>
      <c r="AE92" s="31">
        <f t="shared" si="8"/>
        <v>2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7"/>
        <v>0</v>
      </c>
      <c r="AE93" s="31">
        <f t="shared" si="8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7"/>
        <v>0</v>
      </c>
      <c r="AE94" s="31">
        <f t="shared" si="8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7"/>
        <v>0</v>
      </c>
      <c r="AE95" s="31">
        <f t="shared" si="8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7"/>
        <v>0</v>
      </c>
      <c r="AE96" s="31">
        <f t="shared" si="8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7"/>
        <v>0</v>
      </c>
      <c r="AE97" s="31">
        <f t="shared" si="8"/>
        <v>0</v>
      </c>
    </row>
    <row r="98" spans="1:31" ht="15" thickTop="1">
      <c r="A98" s="63">
        <v>30</v>
      </c>
      <c r="C98" s="28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32"/>
      <c r="AD98" s="40">
        <f t="shared" si="7"/>
        <v>0</v>
      </c>
      <c r="AE98" s="31">
        <f t="shared" si="8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7"/>
        <v>0</v>
      </c>
      <c r="AE99" s="31">
        <f t="shared" si="8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7"/>
        <v>0</v>
      </c>
      <c r="AE100" s="31">
        <f t="shared" si="8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7"/>
        <v>0</v>
      </c>
      <c r="AE101" s="31">
        <f t="shared" si="8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7"/>
        <v>0</v>
      </c>
      <c r="AE102" s="31">
        <f t="shared" si="8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7"/>
        <v>0</v>
      </c>
      <c r="AE103" s="31">
        <f t="shared" si="8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16" priority="1">
      <formula>OR(CELL("col")=COLUMN(),CELL("row")=ROW())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907E4-4F4D-41A1-8C85-CC198D41D8AB}">
  <sheetPr codeName="Sheet7"/>
  <dimension ref="A1:AF105"/>
  <sheetViews>
    <sheetView rightToLeft="1" zoomScale="60" zoomScaleNormal="60" workbookViewId="0">
      <pane xSplit="1" ySplit="9" topLeftCell="B62" activePane="bottomRight" state="frozen"/>
      <selection pane="topRight" activeCell="B1" sqref="B1"/>
      <selection pane="bottomLeft" activeCell="A10" sqref="A10"/>
      <selection pane="bottomRight" activeCell="Q69" sqref="Q69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269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49</v>
      </c>
      <c r="B6" s="5" t="s">
        <v>41</v>
      </c>
      <c r="C6" s="35">
        <f>SUM(C11,C14,C17,C20,C23,C26,C29,C32,C35,C38,C41,C44,C47,C50,C53,C56,C59,C62,C65,C68,C71,C74,C77,C80,C83,C86,C90,C93,C96,C99,C102)</f>
        <v>2</v>
      </c>
      <c r="D6" s="35">
        <f t="shared" ref="D6:AC6" si="0">SUM(D11,D14,D17,D20,D23,D26,D29,D32,D35,D38,D41,D44,D47,D50,D53,D56,D59,D62,D65,D68,D71,D74,D77,D80,D83,D86,D90,D93,D96,D99,D102)</f>
        <v>6</v>
      </c>
      <c r="E6" s="35">
        <f t="shared" si="0"/>
        <v>2</v>
      </c>
      <c r="F6" s="35">
        <f t="shared" si="0"/>
        <v>0</v>
      </c>
      <c r="G6" s="35">
        <f t="shared" si="0"/>
        <v>0</v>
      </c>
      <c r="H6" s="35">
        <f t="shared" si="0"/>
        <v>0</v>
      </c>
      <c r="I6" s="35">
        <f t="shared" si="0"/>
        <v>0</v>
      </c>
      <c r="J6" s="35">
        <f t="shared" si="0"/>
        <v>0</v>
      </c>
      <c r="K6" s="35">
        <f t="shared" si="0"/>
        <v>0</v>
      </c>
      <c r="L6" s="35">
        <f t="shared" si="0"/>
        <v>0</v>
      </c>
      <c r="M6" s="35">
        <f t="shared" si="0"/>
        <v>0</v>
      </c>
      <c r="N6" s="35">
        <f t="shared" si="0"/>
        <v>0</v>
      </c>
      <c r="O6" s="35">
        <f t="shared" si="0"/>
        <v>0</v>
      </c>
      <c r="P6" s="35">
        <f t="shared" si="0"/>
        <v>1</v>
      </c>
      <c r="Q6" s="35">
        <f t="shared" si="0"/>
        <v>0</v>
      </c>
      <c r="R6" s="35">
        <f t="shared" si="0"/>
        <v>0</v>
      </c>
      <c r="S6" s="35">
        <f t="shared" si="0"/>
        <v>0</v>
      </c>
      <c r="T6" s="35">
        <f t="shared" si="0"/>
        <v>0</v>
      </c>
      <c r="U6" s="35">
        <f t="shared" si="0"/>
        <v>0</v>
      </c>
      <c r="V6" s="35">
        <f t="shared" si="0"/>
        <v>15</v>
      </c>
      <c r="W6" s="35">
        <f t="shared" si="0"/>
        <v>2</v>
      </c>
      <c r="X6" s="35">
        <f t="shared" si="0"/>
        <v>0</v>
      </c>
      <c r="Y6" s="35">
        <f t="shared" si="0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5">
        <f t="shared" si="0"/>
        <v>0</v>
      </c>
      <c r="AD6" s="5">
        <f>SUM(C6:AC6)</f>
        <v>28</v>
      </c>
      <c r="AE6" s="5">
        <f>SUM(J6:U6)</f>
        <v>1</v>
      </c>
      <c r="AF6" s="78">
        <f>(AE6+AE7+AE8)/(AD6+AD7+AD8-Z9)*100</f>
        <v>3.5714285714285712</v>
      </c>
    </row>
    <row r="7" spans="1:32" ht="22.5" customHeight="1">
      <c r="A7" s="95"/>
      <c r="B7" s="4" t="s">
        <v>42</v>
      </c>
      <c r="C7" s="4">
        <f>SUM(C12,C15,C18,C21,C24,C27,C30,C33,C36,C39,C42,C45,C48,C51,C54,C57,C60,C63,C66,C69,C72,C75,C78,C81,C84,C87,C91,C94,C97,C100,C103)</f>
        <v>0</v>
      </c>
      <c r="D7" s="4">
        <f t="shared" ref="D7:AC7" si="1">SUM(D12,D15,D18,D21,D24,D27,D30,D33,D36,D39,D42,D45,D48,D51,D54,D57,D60,D63,D66,D69,D72,D75,D78,D81,D84,D87,D91,D94,D97,D100,D103)</f>
        <v>0</v>
      </c>
      <c r="E7" s="4">
        <f t="shared" si="1"/>
        <v>0</v>
      </c>
      <c r="F7" s="4">
        <f t="shared" si="1"/>
        <v>0</v>
      </c>
      <c r="G7" s="4">
        <f t="shared" si="1"/>
        <v>0</v>
      </c>
      <c r="H7" s="4">
        <f t="shared" si="1"/>
        <v>0</v>
      </c>
      <c r="I7" s="4">
        <f t="shared" si="1"/>
        <v>0</v>
      </c>
      <c r="J7" s="4">
        <f t="shared" si="1"/>
        <v>0</v>
      </c>
      <c r="K7" s="4">
        <f t="shared" si="1"/>
        <v>0</v>
      </c>
      <c r="L7" s="4">
        <f t="shared" si="1"/>
        <v>0</v>
      </c>
      <c r="M7" s="4">
        <f t="shared" si="1"/>
        <v>0</v>
      </c>
      <c r="N7" s="4">
        <f t="shared" si="1"/>
        <v>0</v>
      </c>
      <c r="O7" s="4">
        <f t="shared" si="1"/>
        <v>0</v>
      </c>
      <c r="P7" s="4">
        <f t="shared" si="1"/>
        <v>0</v>
      </c>
      <c r="Q7" s="4">
        <f t="shared" si="1"/>
        <v>0</v>
      </c>
      <c r="R7" s="4">
        <f t="shared" si="1"/>
        <v>0</v>
      </c>
      <c r="S7" s="4">
        <f t="shared" si="1"/>
        <v>0</v>
      </c>
      <c r="T7" s="4">
        <f t="shared" si="1"/>
        <v>0</v>
      </c>
      <c r="U7" s="4">
        <f t="shared" si="1"/>
        <v>0</v>
      </c>
      <c r="V7" s="4">
        <f t="shared" si="1"/>
        <v>0</v>
      </c>
      <c r="W7" s="4">
        <f t="shared" si="1"/>
        <v>0</v>
      </c>
      <c r="X7" s="4">
        <f t="shared" si="1"/>
        <v>0</v>
      </c>
      <c r="Y7" s="4">
        <f t="shared" si="1"/>
        <v>0</v>
      </c>
      <c r="Z7" s="51">
        <f t="shared" ref="Z7:AA8" si="2">SUM(Z12,Z15,Z18,Z21,Z24,Z27,Z30,Z33,Z36,Z39,Z42,Z45,Z48,Z51,Z54,Z57,Z60,Z63,Z66,Z69,Z72,Z75,Z78,Z81,Z84,Z87,Z90,Z93,Z96,Z99,Z102)</f>
        <v>0</v>
      </c>
      <c r="AA7" s="51">
        <f t="shared" si="2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1"/>
        <v>0</v>
      </c>
      <c r="AD7" s="4">
        <f t="shared" ref="AD7:AD8" si="3">SUM(C7:AC7)</f>
        <v>0</v>
      </c>
      <c r="AE7" s="4">
        <f t="shared" ref="AE7:AE8" si="4">SUM(J7:U7)</f>
        <v>0</v>
      </c>
      <c r="AF7" s="78"/>
    </row>
    <row r="8" spans="1:32" ht="22.5" customHeight="1" thickBot="1">
      <c r="A8" s="96"/>
      <c r="B8" s="7" t="s">
        <v>43</v>
      </c>
      <c r="C8" s="7">
        <f>SUM(C13,C16,C19,C22,C25,C28,C31,C34,C37,C40,C43,C46,C49,C52,C55,C58,C61,C64,C67,C70,C73,C76,C79,C82,C85,C89,C92,C95,C98,C101,C104)</f>
        <v>0</v>
      </c>
      <c r="D8" s="7">
        <f t="shared" ref="D8:AC8" si="5">SUM(D13,D16,D19,D22,D25,D28,D31,D34,D37,D40,D43,D46,D49,D52,D55,D58,D61,D64,D67,D70,D73,D76,D79,D82,D85,D89,D92,D95,D98,D101,D104)</f>
        <v>0</v>
      </c>
      <c r="E8" s="7">
        <f t="shared" si="5"/>
        <v>0</v>
      </c>
      <c r="F8" s="7">
        <f t="shared" si="5"/>
        <v>0</v>
      </c>
      <c r="G8" s="7">
        <f t="shared" si="5"/>
        <v>0</v>
      </c>
      <c r="H8" s="7">
        <f t="shared" si="5"/>
        <v>0</v>
      </c>
      <c r="I8" s="7">
        <f t="shared" si="5"/>
        <v>0</v>
      </c>
      <c r="J8" s="7">
        <f t="shared" si="5"/>
        <v>0</v>
      </c>
      <c r="K8" s="7">
        <f t="shared" si="5"/>
        <v>0</v>
      </c>
      <c r="L8" s="7">
        <f t="shared" si="5"/>
        <v>0</v>
      </c>
      <c r="M8" s="7">
        <f t="shared" si="5"/>
        <v>0</v>
      </c>
      <c r="N8" s="7">
        <f t="shared" si="5"/>
        <v>0</v>
      </c>
      <c r="O8" s="7">
        <f t="shared" si="5"/>
        <v>0</v>
      </c>
      <c r="P8" s="7">
        <f t="shared" si="5"/>
        <v>0</v>
      </c>
      <c r="Q8" s="7">
        <f t="shared" si="5"/>
        <v>0</v>
      </c>
      <c r="R8" s="7">
        <f t="shared" si="5"/>
        <v>0</v>
      </c>
      <c r="S8" s="7">
        <f t="shared" si="5"/>
        <v>0</v>
      </c>
      <c r="T8" s="7">
        <f t="shared" si="5"/>
        <v>0</v>
      </c>
      <c r="U8" s="7">
        <f t="shared" si="5"/>
        <v>0</v>
      </c>
      <c r="V8" s="7">
        <f t="shared" si="5"/>
        <v>0</v>
      </c>
      <c r="W8" s="7">
        <f t="shared" si="5"/>
        <v>0</v>
      </c>
      <c r="X8" s="7">
        <f t="shared" si="5"/>
        <v>0</v>
      </c>
      <c r="Y8" s="7">
        <f t="shared" si="5"/>
        <v>0</v>
      </c>
      <c r="Z8" s="52">
        <f t="shared" si="2"/>
        <v>0</v>
      </c>
      <c r="AA8" s="52">
        <f t="shared" si="2"/>
        <v>0</v>
      </c>
      <c r="AB8" s="52">
        <f>SUM(AB13,AB16,AB19,AB22,AB25,AB28,AB31,AB34,AB37,AB40,AB43,AB46,AB49,AB52,AB55,AB58,AB61,AB64,AB67,AB70,AB73,AB76,AB79,AB82,AB85,AB88,AB91,AB94,AB97,AB100,AB103)</f>
        <v>1</v>
      </c>
      <c r="AC8" s="7">
        <f t="shared" si="5"/>
        <v>0</v>
      </c>
      <c r="AD8" s="7">
        <f t="shared" si="3"/>
        <v>1</v>
      </c>
      <c r="AE8" s="7">
        <f t="shared" si="4"/>
        <v>0</v>
      </c>
      <c r="AF8" s="78"/>
    </row>
    <row r="9" spans="1:32" ht="15.5" thickTop="1" thickBot="1">
      <c r="Z9" s="83">
        <f>SUM(Z6:AB8)</f>
        <v>1</v>
      </c>
      <c r="AA9" s="84"/>
      <c r="AB9" s="85"/>
    </row>
    <row r="10" spans="1:32" ht="15" thickTop="1">
      <c r="Z10" s="31"/>
      <c r="AA10" s="31"/>
      <c r="AB10" s="31"/>
    </row>
    <row r="11" spans="1:32">
      <c r="A11" s="63">
        <v>1</v>
      </c>
      <c r="B11" s="31"/>
      <c r="C11" s="28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32"/>
      <c r="AD11" s="40">
        <f>SUM(C11:AC11)</f>
        <v>0</v>
      </c>
      <c r="AE11" s="40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6">SUM(C12:AC12)</f>
        <v>0</v>
      </c>
      <c r="AE12" s="40">
        <f t="shared" ref="AE12:AE75" si="7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6"/>
        <v>0</v>
      </c>
      <c r="AE13" s="40">
        <f t="shared" si="7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32"/>
      <c r="AD14" s="40">
        <f t="shared" si="6"/>
        <v>0</v>
      </c>
      <c r="AE14" s="40">
        <f t="shared" si="7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6"/>
        <v>0</v>
      </c>
      <c r="AE15" s="40">
        <f t="shared" si="7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6"/>
        <v>0</v>
      </c>
      <c r="AE16" s="40">
        <f t="shared" si="7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32"/>
      <c r="AD17" s="40">
        <f t="shared" si="6"/>
        <v>0</v>
      </c>
      <c r="AE17" s="40">
        <f t="shared" si="7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6"/>
        <v>0</v>
      </c>
      <c r="AE18" s="40">
        <f t="shared" si="7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6"/>
        <v>0</v>
      </c>
      <c r="AE19" s="40">
        <f t="shared" si="7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32"/>
      <c r="AD20" s="40">
        <f t="shared" si="6"/>
        <v>0</v>
      </c>
      <c r="AE20" s="40">
        <f t="shared" si="7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6"/>
        <v>0</v>
      </c>
      <c r="AE21" s="40">
        <f t="shared" si="7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6"/>
        <v>0</v>
      </c>
      <c r="AE22" s="40">
        <f t="shared" si="7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6"/>
        <v>0</v>
      </c>
      <c r="AE23" s="40">
        <f t="shared" si="7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6"/>
        <v>0</v>
      </c>
      <c r="AE24" s="40">
        <f t="shared" si="7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6"/>
        <v>0</v>
      </c>
      <c r="AE25" s="40">
        <f t="shared" si="7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6"/>
        <v>0</v>
      </c>
      <c r="AE26" s="40">
        <f t="shared" si="7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6"/>
        <v>0</v>
      </c>
      <c r="AE27" s="40">
        <f t="shared" si="7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6"/>
        <v>0</v>
      </c>
      <c r="AE28" s="40">
        <f t="shared" si="7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32"/>
      <c r="AD29" s="40">
        <f t="shared" si="6"/>
        <v>0</v>
      </c>
      <c r="AE29" s="40">
        <f t="shared" si="7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6"/>
        <v>0</v>
      </c>
      <c r="AE30" s="40">
        <f t="shared" si="7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6"/>
        <v>0</v>
      </c>
      <c r="AE31" s="40">
        <f t="shared" si="7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32"/>
      <c r="AD32" s="40">
        <f t="shared" si="6"/>
        <v>0</v>
      </c>
      <c r="AE32" s="40">
        <f t="shared" si="7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6"/>
        <v>0</v>
      </c>
      <c r="AE33" s="40">
        <f t="shared" si="7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6"/>
        <v>0</v>
      </c>
      <c r="AE34" s="40">
        <f t="shared" si="7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2"/>
      <c r="AD35" s="40">
        <f t="shared" si="6"/>
        <v>0</v>
      </c>
      <c r="AE35" s="40">
        <f t="shared" si="7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6"/>
        <v>0</v>
      </c>
      <c r="AE36" s="40">
        <f t="shared" si="7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6"/>
        <v>0</v>
      </c>
      <c r="AE37" s="40">
        <f t="shared" si="7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32"/>
      <c r="AD38" s="40">
        <f t="shared" si="6"/>
        <v>0</v>
      </c>
      <c r="AE38" s="40">
        <f t="shared" si="7"/>
        <v>0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6"/>
        <v>0</v>
      </c>
      <c r="AE39" s="40">
        <f t="shared" si="7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6"/>
        <v>0</v>
      </c>
      <c r="AE40" s="40">
        <f t="shared" si="7"/>
        <v>0</v>
      </c>
    </row>
    <row r="41" spans="1:31" ht="15" thickTop="1">
      <c r="A41" s="63">
        <v>11</v>
      </c>
      <c r="C41" s="28"/>
      <c r="D41" s="5">
        <v>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>
        <v>1</v>
      </c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32"/>
      <c r="AD41" s="40">
        <f t="shared" si="6"/>
        <v>2</v>
      </c>
      <c r="AE41" s="40">
        <f t="shared" si="7"/>
        <v>1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6"/>
        <v>0</v>
      </c>
      <c r="AE42" s="40">
        <f t="shared" si="7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6"/>
        <v>0</v>
      </c>
      <c r="AE43" s="40">
        <f t="shared" si="7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32"/>
      <c r="AD44" s="40">
        <f t="shared" si="6"/>
        <v>0</v>
      </c>
      <c r="AE44" s="40">
        <f t="shared" si="7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6"/>
        <v>0</v>
      </c>
      <c r="AE45" s="40">
        <f t="shared" si="7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6"/>
        <v>0</v>
      </c>
      <c r="AE46" s="40">
        <f t="shared" si="7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6"/>
        <v>0</v>
      </c>
      <c r="AE47" s="40">
        <f t="shared" si="7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6"/>
        <v>0</v>
      </c>
      <c r="AE48" s="40">
        <f t="shared" si="7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6"/>
        <v>0</v>
      </c>
      <c r="AE49" s="40">
        <f t="shared" si="7"/>
        <v>0</v>
      </c>
    </row>
    <row r="50" spans="1:31" ht="15" thickTop="1">
      <c r="A50" s="63">
        <v>14</v>
      </c>
      <c r="C50" s="5"/>
      <c r="D50" s="5">
        <v>1</v>
      </c>
      <c r="E50" s="5">
        <v>1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>
        <v>4</v>
      </c>
      <c r="W50" s="5"/>
      <c r="X50" s="5"/>
      <c r="Y50" s="5"/>
      <c r="Z50" s="5"/>
      <c r="AA50" s="5"/>
      <c r="AB50" s="5"/>
      <c r="AC50" s="32"/>
      <c r="AD50" s="40">
        <f t="shared" si="6"/>
        <v>6</v>
      </c>
      <c r="AE50" s="40">
        <f t="shared" si="7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6"/>
        <v>0</v>
      </c>
      <c r="AE51" s="40">
        <f t="shared" si="7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6"/>
        <v>0</v>
      </c>
      <c r="AE52" s="40">
        <f t="shared" si="7"/>
        <v>0</v>
      </c>
    </row>
    <row r="53" spans="1:31" ht="15" thickTop="1">
      <c r="A53" s="63">
        <v>15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32"/>
      <c r="AD53" s="40">
        <f t="shared" si="6"/>
        <v>0</v>
      </c>
      <c r="AE53" s="40">
        <f t="shared" si="7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6"/>
        <v>0</v>
      </c>
      <c r="AE54" s="40">
        <f t="shared" si="7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6"/>
        <v>0</v>
      </c>
      <c r="AE55" s="40">
        <f t="shared" si="7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>
        <v>3</v>
      </c>
      <c r="W56" s="5"/>
      <c r="X56" s="5"/>
      <c r="Y56" s="5"/>
      <c r="Z56" s="5"/>
      <c r="AA56" s="5"/>
      <c r="AB56" s="5"/>
      <c r="AC56" s="32"/>
      <c r="AD56" s="40">
        <f t="shared" si="6"/>
        <v>3</v>
      </c>
      <c r="AE56" s="40">
        <f t="shared" si="7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6"/>
        <v>0</v>
      </c>
      <c r="AE57" s="40">
        <f t="shared" si="7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6"/>
        <v>0</v>
      </c>
      <c r="AE58" s="40">
        <f t="shared" si="7"/>
        <v>0</v>
      </c>
    </row>
    <row r="59" spans="1:31" ht="15" thickTop="1">
      <c r="A59" s="63">
        <v>17</v>
      </c>
      <c r="C59" s="5"/>
      <c r="D59" s="5">
        <v>1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>
        <v>1</v>
      </c>
      <c r="W59" s="5">
        <v>1</v>
      </c>
      <c r="X59" s="5"/>
      <c r="Y59" s="5"/>
      <c r="Z59" s="5"/>
      <c r="AA59" s="5"/>
      <c r="AB59" s="5"/>
      <c r="AC59" s="32"/>
      <c r="AD59" s="40">
        <f t="shared" si="6"/>
        <v>3</v>
      </c>
      <c r="AE59" s="40">
        <f t="shared" si="7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6"/>
        <v>0</v>
      </c>
      <c r="AE60" s="40">
        <f t="shared" si="7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>
        <v>1</v>
      </c>
      <c r="AC61" s="34"/>
      <c r="AD61" s="40">
        <f t="shared" si="6"/>
        <v>1</v>
      </c>
      <c r="AE61" s="40">
        <f t="shared" si="7"/>
        <v>0</v>
      </c>
    </row>
    <row r="62" spans="1:31" ht="15" thickTop="1">
      <c r="A62" s="63">
        <v>18</v>
      </c>
      <c r="C62" s="28">
        <v>2</v>
      </c>
      <c r="D62" s="5">
        <v>2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>
        <v>5</v>
      </c>
      <c r="W62" s="5">
        <v>1</v>
      </c>
      <c r="X62" s="5"/>
      <c r="Y62" s="5"/>
      <c r="Z62" s="5"/>
      <c r="AA62" s="5"/>
      <c r="AB62" s="5"/>
      <c r="AC62" s="32"/>
      <c r="AD62" s="40">
        <f t="shared" si="6"/>
        <v>10</v>
      </c>
      <c r="AE62" s="40">
        <f t="shared" si="7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6"/>
        <v>0</v>
      </c>
      <c r="AE63" s="40">
        <f t="shared" si="7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6"/>
        <v>0</v>
      </c>
      <c r="AE64" s="40">
        <f t="shared" si="7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6"/>
        <v>0</v>
      </c>
      <c r="AE65" s="40">
        <f t="shared" si="7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6"/>
        <v>0</v>
      </c>
      <c r="AE66" s="40">
        <f t="shared" si="7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6"/>
        <v>0</v>
      </c>
      <c r="AE67" s="40">
        <f t="shared" si="7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6"/>
        <v>0</v>
      </c>
      <c r="AE68" s="40">
        <f t="shared" si="7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6"/>
        <v>0</v>
      </c>
      <c r="AE69" s="40">
        <f t="shared" si="7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6"/>
        <v>0</v>
      </c>
      <c r="AE70" s="40">
        <f t="shared" si="7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6"/>
        <v>0</v>
      </c>
      <c r="AE71" s="40">
        <f t="shared" si="7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6"/>
        <v>0</v>
      </c>
      <c r="AE72" s="40">
        <f t="shared" si="7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6"/>
        <v>0</v>
      </c>
      <c r="AE73" s="40">
        <f t="shared" si="7"/>
        <v>0</v>
      </c>
    </row>
    <row r="74" spans="1:31" ht="15" thickTop="1">
      <c r="A74" s="63">
        <v>22</v>
      </c>
      <c r="C74" s="2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32"/>
      <c r="AD74" s="40">
        <f t="shared" si="6"/>
        <v>0</v>
      </c>
      <c r="AE74" s="40">
        <f t="shared" si="7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6"/>
        <v>0</v>
      </c>
      <c r="AE75" s="40">
        <f t="shared" si="7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4" si="8">SUM(C76:AC76)</f>
        <v>0</v>
      </c>
      <c r="AE76" s="40">
        <f t="shared" ref="AE76:AE104" si="9">SUM(J76:U76)</f>
        <v>0</v>
      </c>
    </row>
    <row r="77" spans="1:31" ht="15" thickTop="1">
      <c r="A77" s="63">
        <v>23</v>
      </c>
      <c r="C77" s="28"/>
      <c r="D77" s="5">
        <v>1</v>
      </c>
      <c r="E77" s="5">
        <v>1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>
        <v>2</v>
      </c>
      <c r="W77" s="5"/>
      <c r="X77" s="5"/>
      <c r="Y77" s="5"/>
      <c r="Z77" s="5"/>
      <c r="AA77" s="5"/>
      <c r="AB77" s="5"/>
      <c r="AC77" s="32"/>
      <c r="AD77" s="40">
        <f t="shared" si="8"/>
        <v>4</v>
      </c>
      <c r="AE77" s="40">
        <f t="shared" si="9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8"/>
        <v>0</v>
      </c>
      <c r="AE78" s="40">
        <f t="shared" si="9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8"/>
        <v>0</v>
      </c>
      <c r="AE79" s="40">
        <f t="shared" si="9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32"/>
      <c r="AD80" s="40">
        <f t="shared" si="8"/>
        <v>0</v>
      </c>
      <c r="AE80" s="40">
        <f t="shared" si="9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8"/>
        <v>0</v>
      </c>
      <c r="AE81" s="40">
        <f t="shared" si="9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8"/>
        <v>0</v>
      </c>
      <c r="AE82" s="40">
        <f t="shared" si="9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32"/>
      <c r="AD83" s="40">
        <f t="shared" si="8"/>
        <v>0</v>
      </c>
      <c r="AE83" s="40">
        <f t="shared" si="9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8"/>
        <v>0</v>
      </c>
      <c r="AE84" s="40">
        <f t="shared" si="9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8"/>
        <v>0</v>
      </c>
      <c r="AE85" s="40">
        <f t="shared" si="9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8"/>
        <v>0</v>
      </c>
      <c r="AE86" s="40">
        <f t="shared" si="9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8"/>
        <v>0</v>
      </c>
      <c r="AE87" s="40">
        <f t="shared" si="9"/>
        <v>0</v>
      </c>
    </row>
    <row r="88" spans="1:31">
      <c r="A88" s="63"/>
      <c r="C88" s="55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7"/>
      <c r="AD88" s="40"/>
      <c r="AE88" s="40"/>
    </row>
    <row r="89" spans="1:31" ht="15" thickBot="1">
      <c r="A89" s="63"/>
      <c r="C89" s="30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34"/>
      <c r="AD89" s="40">
        <f t="shared" si="8"/>
        <v>0</v>
      </c>
      <c r="AE89" s="40">
        <f t="shared" si="9"/>
        <v>0</v>
      </c>
    </row>
    <row r="90" spans="1:31" ht="15" thickTop="1">
      <c r="A90" s="63">
        <v>27</v>
      </c>
      <c r="C90" s="28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32"/>
      <c r="AD90" s="40">
        <f t="shared" si="8"/>
        <v>0</v>
      </c>
      <c r="AE90" s="40">
        <f t="shared" si="9"/>
        <v>0</v>
      </c>
    </row>
    <row r="91" spans="1:31">
      <c r="A91" s="63"/>
      <c r="C91" s="29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33"/>
      <c r="AD91" s="40">
        <f t="shared" si="8"/>
        <v>0</v>
      </c>
      <c r="AE91" s="40">
        <f t="shared" si="9"/>
        <v>0</v>
      </c>
    </row>
    <row r="92" spans="1:31" ht="15" thickBot="1">
      <c r="A92" s="63"/>
      <c r="C92" s="30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34"/>
      <c r="AD92" s="40">
        <f t="shared" si="8"/>
        <v>0</v>
      </c>
      <c r="AE92" s="40">
        <f t="shared" si="9"/>
        <v>0</v>
      </c>
    </row>
    <row r="93" spans="1:31" ht="15" thickTop="1">
      <c r="A93" s="63">
        <v>28</v>
      </c>
      <c r="C93" s="28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32"/>
      <c r="AD93" s="40">
        <f t="shared" si="8"/>
        <v>0</v>
      </c>
      <c r="AE93" s="40">
        <f t="shared" si="9"/>
        <v>0</v>
      </c>
    </row>
    <row r="94" spans="1:31">
      <c r="A94" s="63"/>
      <c r="C94" s="29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33"/>
      <c r="AD94" s="40">
        <f t="shared" si="8"/>
        <v>0</v>
      </c>
      <c r="AE94" s="40">
        <f t="shared" si="9"/>
        <v>0</v>
      </c>
    </row>
    <row r="95" spans="1:31" ht="15" thickBot="1">
      <c r="A95" s="63"/>
      <c r="C95" s="30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34"/>
      <c r="AD95" s="40">
        <f t="shared" si="8"/>
        <v>0</v>
      </c>
      <c r="AE95" s="40">
        <f t="shared" si="9"/>
        <v>0</v>
      </c>
    </row>
    <row r="96" spans="1:31" ht="15" thickTop="1">
      <c r="A96" s="63">
        <v>29</v>
      </c>
      <c r="C96" s="28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32"/>
      <c r="AD96" s="40">
        <f t="shared" si="8"/>
        <v>0</v>
      </c>
      <c r="AE96" s="40">
        <f t="shared" si="9"/>
        <v>0</v>
      </c>
    </row>
    <row r="97" spans="1:31">
      <c r="A97" s="63"/>
      <c r="C97" s="29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33"/>
      <c r="AD97" s="40">
        <f t="shared" si="8"/>
        <v>0</v>
      </c>
      <c r="AE97" s="40">
        <f t="shared" si="9"/>
        <v>0</v>
      </c>
    </row>
    <row r="98" spans="1:31" ht="15" thickBot="1">
      <c r="A98" s="63"/>
      <c r="C98" s="30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34"/>
      <c r="AD98" s="40">
        <f t="shared" si="8"/>
        <v>0</v>
      </c>
      <c r="AE98" s="40">
        <f t="shared" si="9"/>
        <v>0</v>
      </c>
    </row>
    <row r="99" spans="1:31" ht="15" thickTop="1">
      <c r="A99" s="63">
        <v>30</v>
      </c>
      <c r="C99" s="28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32"/>
      <c r="AD99" s="40">
        <f t="shared" si="8"/>
        <v>0</v>
      </c>
      <c r="AE99" s="40">
        <f t="shared" si="9"/>
        <v>0</v>
      </c>
    </row>
    <row r="100" spans="1:31">
      <c r="A100" s="63"/>
      <c r="C100" s="29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33"/>
      <c r="AD100" s="40">
        <f t="shared" si="8"/>
        <v>0</v>
      </c>
      <c r="AE100" s="40">
        <f t="shared" si="9"/>
        <v>0</v>
      </c>
    </row>
    <row r="101" spans="1:31" ht="15" thickBot="1">
      <c r="A101" s="63"/>
      <c r="C101" s="30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34"/>
      <c r="AD101" s="40">
        <f t="shared" si="8"/>
        <v>0</v>
      </c>
      <c r="AE101" s="40">
        <f t="shared" si="9"/>
        <v>0</v>
      </c>
    </row>
    <row r="102" spans="1:31" ht="15" thickTop="1">
      <c r="A102" s="63">
        <v>31</v>
      </c>
      <c r="C102" s="28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32"/>
      <c r="AD102" s="40">
        <f t="shared" si="8"/>
        <v>0</v>
      </c>
      <c r="AE102" s="40">
        <f t="shared" si="9"/>
        <v>0</v>
      </c>
    </row>
    <row r="103" spans="1:31">
      <c r="A103" s="63"/>
      <c r="C103" s="29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33"/>
      <c r="AD103" s="40">
        <f t="shared" si="8"/>
        <v>0</v>
      </c>
      <c r="AE103" s="40">
        <f t="shared" si="9"/>
        <v>0</v>
      </c>
    </row>
    <row r="104" spans="1:31" ht="15" thickBot="1">
      <c r="A104" s="63"/>
      <c r="C104" s="30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34"/>
      <c r="AD104" s="40">
        <f t="shared" si="8"/>
        <v>0</v>
      </c>
      <c r="AE104" s="40">
        <f t="shared" si="9"/>
        <v>0</v>
      </c>
    </row>
    <row r="105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4:AF5"/>
    <mergeCell ref="AF6:AF8"/>
    <mergeCell ref="A102:A104"/>
    <mergeCell ref="A86:A89"/>
    <mergeCell ref="A90:A92"/>
    <mergeCell ref="A93:A95"/>
    <mergeCell ref="A96:A98"/>
    <mergeCell ref="A99:A101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15" priority="1">
      <formula>OR(CELL("col")=COLUMN(),CELL("row")=ROW())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7DBA8-E487-4AF9-B47E-B30176000A92}">
  <sheetPr codeName="Sheet8"/>
  <dimension ref="A1:AF104"/>
  <sheetViews>
    <sheetView rightToLeft="1" zoomScale="60" zoomScaleNormal="60" workbookViewId="0">
      <pane xSplit="1" ySplit="9" topLeftCell="B68" activePane="bottomRight" state="frozen"/>
      <selection pane="topRight" activeCell="B1" sqref="B1"/>
      <selection pane="bottomLeft" activeCell="A10" sqref="A10"/>
      <selection pane="bottomRight" activeCell="D85" sqref="D85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50</v>
      </c>
      <c r="B6" s="5" t="s">
        <v>41</v>
      </c>
      <c r="C6" s="36">
        <f>SUM(C11,C14,C17,C20,C23,C26,C29,C32,C35,C38,C41,C44,C47,C50,C53,C56,C59,C62,C65,C68,C71,C74,C77,C80,C83,C86,C89,C92,C95,C98,C101)</f>
        <v>0</v>
      </c>
      <c r="D6" s="36">
        <f t="shared" ref="D6:AC6" si="0">SUM(D11,D14,D17,D20,D23,D26,D29,D32,D35,D38,D41,D44,D47,D50,D53,D56,D59,D62,D65,D68,D71,D74,D77,D80,D83,D86,D89,D92,D95,D98,D101)</f>
        <v>5</v>
      </c>
      <c r="E6" s="36">
        <f t="shared" si="0"/>
        <v>0</v>
      </c>
      <c r="F6" s="36">
        <f t="shared" si="0"/>
        <v>0</v>
      </c>
      <c r="G6" s="36">
        <f t="shared" si="0"/>
        <v>0</v>
      </c>
      <c r="H6" s="36">
        <f t="shared" si="0"/>
        <v>0</v>
      </c>
      <c r="I6" s="36">
        <f t="shared" si="0"/>
        <v>0</v>
      </c>
      <c r="J6" s="36">
        <f t="shared" si="0"/>
        <v>0</v>
      </c>
      <c r="K6" s="36">
        <f t="shared" si="0"/>
        <v>0</v>
      </c>
      <c r="L6" s="36">
        <f t="shared" si="0"/>
        <v>0</v>
      </c>
      <c r="M6" s="36">
        <f t="shared" si="0"/>
        <v>0</v>
      </c>
      <c r="N6" s="36">
        <f t="shared" si="0"/>
        <v>0</v>
      </c>
      <c r="O6" s="36">
        <f t="shared" si="0"/>
        <v>0</v>
      </c>
      <c r="P6" s="36">
        <f t="shared" si="0"/>
        <v>0</v>
      </c>
      <c r="Q6" s="36">
        <f t="shared" si="0"/>
        <v>0</v>
      </c>
      <c r="R6" s="36">
        <f t="shared" si="0"/>
        <v>0</v>
      </c>
      <c r="S6" s="36">
        <f t="shared" si="0"/>
        <v>1</v>
      </c>
      <c r="T6" s="36">
        <f t="shared" si="0"/>
        <v>0</v>
      </c>
      <c r="U6" s="36">
        <f t="shared" si="0"/>
        <v>1</v>
      </c>
      <c r="V6" s="36">
        <f t="shared" si="0"/>
        <v>15</v>
      </c>
      <c r="W6" s="36">
        <f t="shared" si="0"/>
        <v>1</v>
      </c>
      <c r="X6" s="36">
        <f t="shared" si="0"/>
        <v>1</v>
      </c>
      <c r="Y6" s="36">
        <f t="shared" si="0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6">
        <f t="shared" si="0"/>
        <v>0</v>
      </c>
      <c r="AD6" s="5">
        <f>SUM(C6:AC6)</f>
        <v>24</v>
      </c>
      <c r="AE6" s="5">
        <f>SUM(J6:U6)</f>
        <v>2</v>
      </c>
      <c r="AF6" s="78">
        <f>(AE6+AE7+AE8)/(AD6+AD7+AD8-Z9)*100</f>
        <v>12</v>
      </c>
    </row>
    <row r="7" spans="1:32" ht="22.5" customHeight="1">
      <c r="A7" s="95"/>
      <c r="B7" s="4" t="s">
        <v>42</v>
      </c>
      <c r="C7" s="4">
        <f>SUM(C12,C15,C18,C21,C24,C27,C30,C33,C36,C39,C42,C45,C48,C51,C54,C57,C60,C63,C66,C69,C72,C75,C78,C81,C84,C87,C90,C93,C96,C99,C102)</f>
        <v>0</v>
      </c>
      <c r="D7" s="4">
        <f t="shared" ref="D7:AC8" si="1">SUM(D12,D15,D18,D21,D24,D27,D30,D33,D36,D39,D42,D45,D48,D51,D54,D57,D60,D63,D66,D69,D72,D75,D78,D81,D84,D87,D90,D93,D96,D99,D102)</f>
        <v>0</v>
      </c>
      <c r="E7" s="4">
        <f t="shared" si="1"/>
        <v>0</v>
      </c>
      <c r="F7" s="4">
        <f t="shared" si="1"/>
        <v>0</v>
      </c>
      <c r="G7" s="4">
        <f t="shared" si="1"/>
        <v>0</v>
      </c>
      <c r="H7" s="4">
        <f t="shared" si="1"/>
        <v>0</v>
      </c>
      <c r="I7" s="4">
        <f t="shared" si="1"/>
        <v>0</v>
      </c>
      <c r="J7" s="4">
        <f t="shared" si="1"/>
        <v>0</v>
      </c>
      <c r="K7" s="4">
        <f t="shared" si="1"/>
        <v>0</v>
      </c>
      <c r="L7" s="4">
        <f t="shared" si="1"/>
        <v>0</v>
      </c>
      <c r="M7" s="4">
        <f t="shared" si="1"/>
        <v>0</v>
      </c>
      <c r="N7" s="4">
        <f t="shared" si="1"/>
        <v>0</v>
      </c>
      <c r="O7" s="4">
        <f t="shared" si="1"/>
        <v>0</v>
      </c>
      <c r="P7" s="4">
        <f t="shared" si="1"/>
        <v>0</v>
      </c>
      <c r="Q7" s="4">
        <f t="shared" si="1"/>
        <v>0</v>
      </c>
      <c r="R7" s="4">
        <f t="shared" si="1"/>
        <v>0</v>
      </c>
      <c r="S7" s="4">
        <f t="shared" si="1"/>
        <v>0</v>
      </c>
      <c r="T7" s="4">
        <f t="shared" si="1"/>
        <v>0</v>
      </c>
      <c r="U7" s="4">
        <f t="shared" si="1"/>
        <v>1</v>
      </c>
      <c r="V7" s="4">
        <f t="shared" si="1"/>
        <v>0</v>
      </c>
      <c r="W7" s="4">
        <f t="shared" si="1"/>
        <v>0</v>
      </c>
      <c r="X7" s="4">
        <f t="shared" si="1"/>
        <v>0</v>
      </c>
      <c r="Y7" s="4">
        <f t="shared" si="1"/>
        <v>0</v>
      </c>
      <c r="Z7" s="51">
        <f t="shared" si="1"/>
        <v>0</v>
      </c>
      <c r="AA7" s="51">
        <f t="shared" si="1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1"/>
        <v>0</v>
      </c>
      <c r="AD7" s="4">
        <f t="shared" ref="AD7:AD8" si="2">SUM(C7:AC7)</f>
        <v>1</v>
      </c>
      <c r="AE7" s="4">
        <f t="shared" ref="AE7:AE8" si="3">SUM(J7:U7)</f>
        <v>1</v>
      </c>
      <c r="AF7" s="78"/>
    </row>
    <row r="8" spans="1:32" ht="22.5" customHeight="1" thickBot="1">
      <c r="A8" s="96"/>
      <c r="B8" s="7" t="s">
        <v>43</v>
      </c>
      <c r="C8" s="7">
        <f>SUM(C13,C16,C19,C22,C25,C28,C31,C34,C37,C40,C43,C46,C49,C52,C55,C58,C61,C64,C67,C70,C73,C76,C79,C82,C85,C88,C91,C94,C97,C100,C103)</f>
        <v>0</v>
      </c>
      <c r="D8" s="7">
        <f t="shared" ref="D8:AC8" si="4">SUM(D13,D16,D19,D22,D25,D28,D31,D34,D37,D40,D43,D46,D49,D52,D55,D58,D61,D64,D67,D70,D73,D76,D79,D82,D85,D88,D91,D94,D97,D100,D103)</f>
        <v>0</v>
      </c>
      <c r="E8" s="7">
        <f t="shared" si="4"/>
        <v>0</v>
      </c>
      <c r="F8" s="7">
        <f t="shared" si="4"/>
        <v>0</v>
      </c>
      <c r="G8" s="7">
        <f t="shared" si="4"/>
        <v>0</v>
      </c>
      <c r="H8" s="7">
        <f t="shared" si="4"/>
        <v>0</v>
      </c>
      <c r="I8" s="7">
        <f t="shared" si="4"/>
        <v>0</v>
      </c>
      <c r="J8" s="7">
        <f t="shared" si="4"/>
        <v>0</v>
      </c>
      <c r="K8" s="7">
        <f t="shared" si="4"/>
        <v>0</v>
      </c>
      <c r="L8" s="7">
        <f t="shared" si="4"/>
        <v>0</v>
      </c>
      <c r="M8" s="7">
        <f t="shared" si="4"/>
        <v>0</v>
      </c>
      <c r="N8" s="7">
        <f t="shared" si="4"/>
        <v>0</v>
      </c>
      <c r="O8" s="7">
        <f t="shared" si="4"/>
        <v>0</v>
      </c>
      <c r="P8" s="7">
        <f t="shared" si="4"/>
        <v>0</v>
      </c>
      <c r="Q8" s="7">
        <f t="shared" si="4"/>
        <v>0</v>
      </c>
      <c r="R8" s="7">
        <f t="shared" si="4"/>
        <v>0</v>
      </c>
      <c r="S8" s="7">
        <f t="shared" si="4"/>
        <v>0</v>
      </c>
      <c r="T8" s="7">
        <f t="shared" si="4"/>
        <v>0</v>
      </c>
      <c r="U8" s="7">
        <f t="shared" si="4"/>
        <v>0</v>
      </c>
      <c r="V8" s="7">
        <f t="shared" si="4"/>
        <v>0</v>
      </c>
      <c r="W8" s="7">
        <f t="shared" si="4"/>
        <v>0</v>
      </c>
      <c r="X8" s="7">
        <f t="shared" si="4"/>
        <v>0</v>
      </c>
      <c r="Y8" s="7">
        <f t="shared" si="4"/>
        <v>0</v>
      </c>
      <c r="Z8" s="52">
        <f t="shared" si="1"/>
        <v>0</v>
      </c>
      <c r="AA8" s="52">
        <f t="shared" si="1"/>
        <v>0</v>
      </c>
      <c r="AB8" s="52">
        <f>SUM(AB13,AB16,AB19,AB22,AB25,AB28,AB31,AB34,AB37,AB40,AB43,AB46,AB49,AB52,AB55,AB58,AB61,AB64,AB67,AB70,AB73,AB76,AB79,AB82,AB85,AB88,AB91,AB94,AB97,AB100,AB103)</f>
        <v>0</v>
      </c>
      <c r="AC8" s="7">
        <f t="shared" si="4"/>
        <v>0</v>
      </c>
      <c r="AD8" s="7">
        <f t="shared" si="2"/>
        <v>0</v>
      </c>
      <c r="AE8" s="7">
        <f t="shared" si="3"/>
        <v>0</v>
      </c>
      <c r="AF8" s="78"/>
    </row>
    <row r="9" spans="1:32" ht="15.5" thickTop="1" thickBot="1">
      <c r="Z9" s="83">
        <f>SUM(Z6:AB8)</f>
        <v>0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32"/>
      <c r="AD11" s="40">
        <f>SUM(C11:AC11)</f>
        <v>0</v>
      </c>
      <c r="AE11" s="31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5">SUM(C12:AC12)</f>
        <v>0</v>
      </c>
      <c r="AE12" s="31">
        <f t="shared" ref="AE12:AE75" si="6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5"/>
        <v>0</v>
      </c>
      <c r="AE13" s="31">
        <f t="shared" si="6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32"/>
      <c r="AD14" s="40">
        <f t="shared" si="5"/>
        <v>0</v>
      </c>
      <c r="AE14" s="31">
        <f t="shared" si="6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5"/>
        <v>0</v>
      </c>
      <c r="AE15" s="31">
        <f t="shared" si="6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5"/>
        <v>0</v>
      </c>
      <c r="AE16" s="31">
        <f t="shared" si="6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32"/>
      <c r="AD17" s="40">
        <f t="shared" si="5"/>
        <v>0</v>
      </c>
      <c r="AE17" s="31">
        <f t="shared" si="6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5"/>
        <v>0</v>
      </c>
      <c r="AE18" s="31">
        <f t="shared" si="6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5"/>
        <v>0</v>
      </c>
      <c r="AE19" s="31">
        <f t="shared" si="6"/>
        <v>0</v>
      </c>
    </row>
    <row r="20" spans="1:31" ht="15" thickTop="1">
      <c r="A20" s="63">
        <v>4</v>
      </c>
      <c r="C20" s="5"/>
      <c r="D20" s="5">
        <v>2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>
        <v>1</v>
      </c>
      <c r="V20" s="5">
        <v>4</v>
      </c>
      <c r="W20" s="5"/>
      <c r="X20" s="5">
        <v>1</v>
      </c>
      <c r="Y20" s="5"/>
      <c r="Z20" s="5"/>
      <c r="AA20" s="5"/>
      <c r="AB20" s="5"/>
      <c r="AC20" s="32"/>
      <c r="AD20" s="40">
        <f t="shared" si="5"/>
        <v>8</v>
      </c>
      <c r="AE20" s="31">
        <f t="shared" si="6"/>
        <v>1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5"/>
        <v>0</v>
      </c>
      <c r="AE21" s="31">
        <f t="shared" si="6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5"/>
        <v>0</v>
      </c>
      <c r="AE22" s="31">
        <f t="shared" si="6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5"/>
        <v>0</v>
      </c>
      <c r="AE23" s="31">
        <f t="shared" si="6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5"/>
        <v>0</v>
      </c>
      <c r="AE24" s="31">
        <f t="shared" si="6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5"/>
        <v>0</v>
      </c>
      <c r="AE25" s="31">
        <f t="shared" si="6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5"/>
        <v>0</v>
      </c>
      <c r="AE26" s="31">
        <f t="shared" si="6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5"/>
        <v>0</v>
      </c>
      <c r="AE27" s="31">
        <f t="shared" si="6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5"/>
        <v>0</v>
      </c>
      <c r="AE28" s="31">
        <f t="shared" si="6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32"/>
      <c r="AD29" s="40">
        <f t="shared" si="5"/>
        <v>0</v>
      </c>
      <c r="AE29" s="31">
        <f t="shared" si="6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5"/>
        <v>0</v>
      </c>
      <c r="AE30" s="31">
        <f t="shared" si="6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5"/>
        <v>0</v>
      </c>
      <c r="AE31" s="31">
        <f t="shared" si="6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32"/>
      <c r="AD32" s="40">
        <f t="shared" si="5"/>
        <v>0</v>
      </c>
      <c r="AE32" s="31">
        <f t="shared" si="6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5"/>
        <v>0</v>
      </c>
      <c r="AE33" s="31">
        <f t="shared" si="6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5"/>
        <v>0</v>
      </c>
      <c r="AE34" s="31">
        <f t="shared" si="6"/>
        <v>0</v>
      </c>
    </row>
    <row r="35" spans="1:31" ht="15" thickTop="1">
      <c r="A35" s="63">
        <v>9</v>
      </c>
      <c r="C35" s="28"/>
      <c r="D35" s="5">
        <v>1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>
        <v>2</v>
      </c>
      <c r="W35" s="5"/>
      <c r="X35" s="5"/>
      <c r="Y35" s="5"/>
      <c r="Z35" s="5"/>
      <c r="AA35" s="5"/>
      <c r="AB35" s="5"/>
      <c r="AC35" s="32"/>
      <c r="AD35" s="40">
        <f t="shared" si="5"/>
        <v>3</v>
      </c>
      <c r="AE35" s="31">
        <f t="shared" si="6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5"/>
        <v>0</v>
      </c>
      <c r="AE36" s="31">
        <f t="shared" si="6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5"/>
        <v>0</v>
      </c>
      <c r="AE37" s="31">
        <f t="shared" si="6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32"/>
      <c r="AD38" s="40">
        <f t="shared" si="5"/>
        <v>0</v>
      </c>
      <c r="AE38" s="31">
        <f t="shared" si="6"/>
        <v>0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5"/>
        <v>0</v>
      </c>
      <c r="AE39" s="31">
        <f t="shared" si="6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5"/>
        <v>0</v>
      </c>
      <c r="AE40" s="31">
        <f t="shared" si="6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>
        <v>3</v>
      </c>
      <c r="W41" s="5"/>
      <c r="X41" s="5"/>
      <c r="Y41" s="5"/>
      <c r="Z41" s="5"/>
      <c r="AA41" s="5"/>
      <c r="AB41" s="5"/>
      <c r="AC41" s="32"/>
      <c r="AD41" s="40">
        <f t="shared" si="5"/>
        <v>3</v>
      </c>
      <c r="AE41" s="31">
        <f t="shared" si="6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5"/>
        <v>0</v>
      </c>
      <c r="AE42" s="31">
        <f t="shared" si="6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5"/>
        <v>0</v>
      </c>
      <c r="AE43" s="31">
        <f t="shared" si="6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32"/>
      <c r="AD44" s="40">
        <f t="shared" si="5"/>
        <v>0</v>
      </c>
      <c r="AE44" s="31">
        <f t="shared" si="6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5"/>
        <v>0</v>
      </c>
      <c r="AE45" s="31">
        <f t="shared" si="6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5"/>
        <v>0</v>
      </c>
      <c r="AE46" s="31">
        <f t="shared" si="6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5"/>
        <v>0</v>
      </c>
      <c r="AE47" s="31">
        <f t="shared" si="6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5"/>
        <v>0</v>
      </c>
      <c r="AE48" s="31">
        <f t="shared" si="6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5"/>
        <v>0</v>
      </c>
      <c r="AE49" s="31">
        <f t="shared" si="6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5"/>
        <v>0</v>
      </c>
      <c r="AE50" s="31">
        <f t="shared" si="6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5"/>
        <v>0</v>
      </c>
      <c r="AE51" s="31">
        <f t="shared" si="6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5"/>
        <v>0</v>
      </c>
      <c r="AE52" s="31">
        <f t="shared" si="6"/>
        <v>0</v>
      </c>
    </row>
    <row r="53" spans="1:31" ht="15" thickTop="1">
      <c r="A53" s="63">
        <v>15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32"/>
      <c r="AD53" s="40">
        <f t="shared" si="5"/>
        <v>0</v>
      </c>
      <c r="AE53" s="31">
        <f t="shared" si="6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5"/>
        <v>0</v>
      </c>
      <c r="AE54" s="31">
        <f t="shared" si="6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5"/>
        <v>0</v>
      </c>
      <c r="AE55" s="31">
        <f t="shared" si="6"/>
        <v>0</v>
      </c>
    </row>
    <row r="56" spans="1:31" ht="15" thickTop="1">
      <c r="A56" s="63">
        <v>16</v>
      </c>
      <c r="C56" s="5"/>
      <c r="D56" s="5">
        <v>1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>
        <v>4</v>
      </c>
      <c r="W56" s="5"/>
      <c r="X56" s="5"/>
      <c r="Y56" s="5"/>
      <c r="Z56" s="5"/>
      <c r="AA56" s="5"/>
      <c r="AB56" s="5"/>
      <c r="AC56" s="32"/>
      <c r="AD56" s="40">
        <f t="shared" si="5"/>
        <v>5</v>
      </c>
      <c r="AE56" s="31">
        <f t="shared" si="6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5"/>
        <v>0</v>
      </c>
      <c r="AE57" s="31">
        <f t="shared" si="6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5"/>
        <v>0</v>
      </c>
      <c r="AE58" s="31">
        <f t="shared" si="6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32"/>
      <c r="AD59" s="40">
        <f t="shared" si="5"/>
        <v>0</v>
      </c>
      <c r="AE59" s="31">
        <f t="shared" si="6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5"/>
        <v>0</v>
      </c>
      <c r="AE60" s="31">
        <f t="shared" si="6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5"/>
        <v>0</v>
      </c>
      <c r="AE61" s="31">
        <f t="shared" si="6"/>
        <v>0</v>
      </c>
    </row>
    <row r="62" spans="1:31" ht="15" thickTop="1">
      <c r="A62" s="63">
        <v>18</v>
      </c>
      <c r="C62" s="2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5"/>
        <v>0</v>
      </c>
      <c r="AE62" s="31">
        <f t="shared" si="6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5"/>
        <v>0</v>
      </c>
      <c r="AE63" s="31">
        <f t="shared" si="6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5"/>
        <v>0</v>
      </c>
      <c r="AE64" s="31">
        <f t="shared" si="6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5"/>
        <v>0</v>
      </c>
      <c r="AE65" s="31">
        <f t="shared" si="6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5"/>
        <v>0</v>
      </c>
      <c r="AE66" s="31">
        <f t="shared" si="6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5"/>
        <v>0</v>
      </c>
      <c r="AE67" s="31">
        <f t="shared" si="6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5"/>
        <v>0</v>
      </c>
      <c r="AE68" s="31">
        <f t="shared" si="6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5"/>
        <v>0</v>
      </c>
      <c r="AE69" s="31">
        <f t="shared" si="6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5"/>
        <v>0</v>
      </c>
      <c r="AE70" s="31">
        <f t="shared" si="6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5"/>
        <v>0</v>
      </c>
      <c r="AE71" s="31">
        <f t="shared" si="6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5"/>
        <v>0</v>
      </c>
      <c r="AE72" s="31">
        <f t="shared" si="6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5"/>
        <v>0</v>
      </c>
      <c r="AE73" s="31">
        <f t="shared" si="6"/>
        <v>0</v>
      </c>
    </row>
    <row r="74" spans="1:31" ht="15" thickTop="1">
      <c r="A74" s="63">
        <v>22</v>
      </c>
      <c r="C74" s="2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32"/>
      <c r="AD74" s="40">
        <f t="shared" si="5"/>
        <v>0</v>
      </c>
      <c r="AE74" s="31">
        <f t="shared" si="6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5"/>
        <v>0</v>
      </c>
      <c r="AE75" s="31">
        <f t="shared" si="6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7">SUM(C76:AC76)</f>
        <v>0</v>
      </c>
      <c r="AE76" s="31">
        <f t="shared" ref="AE76:AE103" si="8">SUM(J76:U76)</f>
        <v>0</v>
      </c>
    </row>
    <row r="77" spans="1:31" ht="15" thickTop="1">
      <c r="A77" s="63">
        <v>23</v>
      </c>
      <c r="C77" s="2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32"/>
      <c r="AD77" s="40">
        <f t="shared" si="7"/>
        <v>0</v>
      </c>
      <c r="AE77" s="31">
        <f t="shared" si="8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7"/>
        <v>0</v>
      </c>
      <c r="AE78" s="31">
        <f t="shared" si="8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7"/>
        <v>0</v>
      </c>
      <c r="AE79" s="31">
        <f t="shared" si="8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32"/>
      <c r="AD80" s="40">
        <f t="shared" si="7"/>
        <v>0</v>
      </c>
      <c r="AE80" s="31">
        <f t="shared" si="8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7"/>
        <v>0</v>
      </c>
      <c r="AE81" s="31">
        <f t="shared" si="8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7"/>
        <v>0</v>
      </c>
      <c r="AE82" s="31">
        <f t="shared" si="8"/>
        <v>0</v>
      </c>
    </row>
    <row r="83" spans="1:31" ht="15" thickTop="1">
      <c r="A83" s="63">
        <v>25</v>
      </c>
      <c r="C83" s="28"/>
      <c r="D83" s="5">
        <v>1</v>
      </c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>
        <v>1</v>
      </c>
      <c r="T83" s="5"/>
      <c r="U83" s="5"/>
      <c r="V83" s="5">
        <v>2</v>
      </c>
      <c r="W83" s="5">
        <v>1</v>
      </c>
      <c r="X83" s="5"/>
      <c r="Y83" s="5"/>
      <c r="Z83" s="5"/>
      <c r="AA83" s="5"/>
      <c r="AB83" s="5"/>
      <c r="AC83" s="32"/>
      <c r="AD83" s="40">
        <f t="shared" si="7"/>
        <v>5</v>
      </c>
      <c r="AE83" s="31">
        <f t="shared" si="8"/>
        <v>1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7"/>
        <v>0</v>
      </c>
      <c r="AE84" s="31">
        <f t="shared" si="8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7"/>
        <v>0</v>
      </c>
      <c r="AE85" s="31">
        <f t="shared" si="8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7"/>
        <v>0</v>
      </c>
      <c r="AE86" s="31">
        <f t="shared" si="8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7"/>
        <v>0</v>
      </c>
      <c r="AE87" s="31">
        <f t="shared" si="8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7"/>
        <v>0</v>
      </c>
      <c r="AE88" s="31">
        <f t="shared" si="8"/>
        <v>0</v>
      </c>
    </row>
    <row r="89" spans="1:31" ht="15" thickTop="1">
      <c r="A89" s="63">
        <v>27</v>
      </c>
      <c r="C89" s="2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32"/>
      <c r="AD89" s="40">
        <f t="shared" si="7"/>
        <v>0</v>
      </c>
      <c r="AE89" s="31">
        <f t="shared" si="8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>
        <v>1</v>
      </c>
      <c r="V90" s="4"/>
      <c r="W90" s="4"/>
      <c r="X90" s="4"/>
      <c r="Y90" s="4"/>
      <c r="Z90" s="4"/>
      <c r="AA90" s="4"/>
      <c r="AB90" s="4"/>
      <c r="AC90" s="33"/>
      <c r="AD90" s="40">
        <f t="shared" si="7"/>
        <v>1</v>
      </c>
      <c r="AE90" s="31">
        <f t="shared" si="8"/>
        <v>1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34"/>
      <c r="AD91" s="40">
        <f t="shared" si="7"/>
        <v>0</v>
      </c>
      <c r="AE91" s="31">
        <f t="shared" si="8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32"/>
      <c r="AD92" s="40">
        <f t="shared" si="7"/>
        <v>0</v>
      </c>
      <c r="AE92" s="31">
        <f t="shared" si="8"/>
        <v>0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7"/>
        <v>0</v>
      </c>
      <c r="AE93" s="31">
        <f t="shared" si="8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7"/>
        <v>0</v>
      </c>
      <c r="AE94" s="31">
        <f t="shared" si="8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7"/>
        <v>0</v>
      </c>
      <c r="AE95" s="31">
        <f t="shared" si="8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7"/>
        <v>0</v>
      </c>
      <c r="AE96" s="31">
        <f t="shared" si="8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7"/>
        <v>0</v>
      </c>
      <c r="AE97" s="31">
        <f t="shared" si="8"/>
        <v>0</v>
      </c>
    </row>
    <row r="98" spans="1:31" ht="15" thickTop="1">
      <c r="A98" s="63">
        <v>30</v>
      </c>
      <c r="C98" s="28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32"/>
      <c r="AD98" s="40">
        <f t="shared" si="7"/>
        <v>0</v>
      </c>
      <c r="AE98" s="31">
        <f t="shared" si="8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7"/>
        <v>0</v>
      </c>
      <c r="AE99" s="31">
        <f t="shared" si="8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7"/>
        <v>0</v>
      </c>
      <c r="AE100" s="31">
        <f t="shared" si="8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7"/>
        <v>0</v>
      </c>
      <c r="AE101" s="31">
        <f t="shared" si="8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7"/>
        <v>0</v>
      </c>
      <c r="AE102" s="31">
        <f t="shared" si="8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7"/>
        <v>0</v>
      </c>
      <c r="AE103" s="31">
        <f t="shared" si="8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14" priority="1">
      <formula>OR(CELL("col")=COLUMN(),CELL("row")=ROW())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E6B5-3714-4877-B058-AA6AA22301E3}">
  <sheetPr codeName="Sheet9"/>
  <dimension ref="A1:AF104"/>
  <sheetViews>
    <sheetView rightToLeft="1" zoomScale="60" zoomScaleNormal="60" workbookViewId="0">
      <pane xSplit="1" ySplit="9" topLeftCell="B70" activePane="bottomRight" state="frozen"/>
      <selection pane="topRight" activeCell="B1" sqref="B1"/>
      <selection pane="bottomLeft" activeCell="A10" sqref="A10"/>
      <selection pane="bottomRight" activeCell="AB85" sqref="AB85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51</v>
      </c>
      <c r="B6" s="5" t="s">
        <v>41</v>
      </c>
      <c r="C6" s="38">
        <f>SUM(C11,C14,C17,C20,C23,C26,C29,C32,C35,C38,C41,C44,C47,C50,C53,C56,C59,C62,C65,C68,C71,C74,C77,C80,C83,C86,C89,C92,C95,C98,C101)</f>
        <v>2</v>
      </c>
      <c r="D6" s="38">
        <f t="shared" ref="D6:AC6" si="0">SUM(D11,D14,D17,D20,D23,D26,D29,D32,D35,D38,D41,D44,D47,D50,D53,D56,D59,D62,D65,D68,D71,D74,D77,D80,D83,D86,D89,D92,D95,D98,D101)</f>
        <v>7</v>
      </c>
      <c r="E6" s="38">
        <f t="shared" si="0"/>
        <v>2</v>
      </c>
      <c r="F6" s="38">
        <f t="shared" si="0"/>
        <v>0</v>
      </c>
      <c r="G6" s="38">
        <f t="shared" si="0"/>
        <v>0</v>
      </c>
      <c r="H6" s="38">
        <f t="shared" si="0"/>
        <v>2</v>
      </c>
      <c r="I6" s="38">
        <f t="shared" si="0"/>
        <v>0</v>
      </c>
      <c r="J6" s="38">
        <f t="shared" si="0"/>
        <v>0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0</v>
      </c>
      <c r="P6" s="38">
        <f t="shared" si="0"/>
        <v>2</v>
      </c>
      <c r="Q6" s="38">
        <f t="shared" si="0"/>
        <v>5</v>
      </c>
      <c r="R6" s="38">
        <f t="shared" si="0"/>
        <v>0</v>
      </c>
      <c r="S6" s="38">
        <f t="shared" si="0"/>
        <v>0</v>
      </c>
      <c r="T6" s="38">
        <f t="shared" si="0"/>
        <v>1</v>
      </c>
      <c r="U6" s="38">
        <f t="shared" si="0"/>
        <v>1</v>
      </c>
      <c r="V6" s="38">
        <f t="shared" si="0"/>
        <v>18</v>
      </c>
      <c r="W6" s="38">
        <f t="shared" si="0"/>
        <v>2</v>
      </c>
      <c r="X6" s="38">
        <f t="shared" si="0"/>
        <v>6</v>
      </c>
      <c r="Y6" s="38">
        <f t="shared" si="0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8">
        <f t="shared" si="0"/>
        <v>0</v>
      </c>
      <c r="AD6" s="5">
        <f>SUM(C6:AC6)</f>
        <v>48</v>
      </c>
      <c r="AE6" s="5">
        <f>SUM(J6:U6)</f>
        <v>9</v>
      </c>
      <c r="AF6" s="78">
        <f>(AE6+AE7+AE8)/(AD6+AD7+AD8-Z9)*100</f>
        <v>24.137931034482758</v>
      </c>
    </row>
    <row r="7" spans="1:32" ht="22.5" customHeight="1">
      <c r="A7" s="95"/>
      <c r="B7" s="4" t="s">
        <v>42</v>
      </c>
      <c r="C7" s="4">
        <f>SUM(C12,C15,C18,C21,C24,C27,C30,C33,C36,C39,C42,C45,C48,C51,C54,C57,C60,C63,C66,C69,C72,C75,C78,C81,C84,C87,C90,C93,C96,C99,C102)</f>
        <v>1</v>
      </c>
      <c r="D7" s="4">
        <f t="shared" ref="D7:AC8" si="1">SUM(D12,D15,D18,D21,D24,D27,D30,D33,D36,D39,D42,D45,D48,D51,D54,D57,D60,D63,D66,D69,D72,D75,D78,D81,D84,D87,D90,D93,D96,D99,D102)</f>
        <v>1</v>
      </c>
      <c r="E7" s="4">
        <f t="shared" si="1"/>
        <v>0</v>
      </c>
      <c r="F7" s="4">
        <f t="shared" si="1"/>
        <v>0</v>
      </c>
      <c r="G7" s="4">
        <f t="shared" si="1"/>
        <v>0</v>
      </c>
      <c r="H7" s="4">
        <f t="shared" si="1"/>
        <v>1</v>
      </c>
      <c r="I7" s="4">
        <f t="shared" si="1"/>
        <v>0</v>
      </c>
      <c r="J7" s="4">
        <f t="shared" si="1"/>
        <v>0</v>
      </c>
      <c r="K7" s="4">
        <f t="shared" si="1"/>
        <v>0</v>
      </c>
      <c r="L7" s="4">
        <f t="shared" si="1"/>
        <v>0</v>
      </c>
      <c r="M7" s="4">
        <f t="shared" si="1"/>
        <v>0</v>
      </c>
      <c r="N7" s="4">
        <f t="shared" si="1"/>
        <v>0</v>
      </c>
      <c r="O7" s="4">
        <f t="shared" si="1"/>
        <v>0</v>
      </c>
      <c r="P7" s="4">
        <f t="shared" si="1"/>
        <v>0</v>
      </c>
      <c r="Q7" s="4">
        <f t="shared" si="1"/>
        <v>2</v>
      </c>
      <c r="R7" s="4">
        <f t="shared" si="1"/>
        <v>0</v>
      </c>
      <c r="S7" s="4">
        <f t="shared" si="1"/>
        <v>0</v>
      </c>
      <c r="T7" s="4">
        <f t="shared" si="1"/>
        <v>2</v>
      </c>
      <c r="U7" s="4">
        <f t="shared" si="1"/>
        <v>1</v>
      </c>
      <c r="V7" s="4">
        <f t="shared" si="1"/>
        <v>2</v>
      </c>
      <c r="W7" s="4">
        <f t="shared" si="1"/>
        <v>0</v>
      </c>
      <c r="X7" s="4">
        <f t="shared" si="1"/>
        <v>0</v>
      </c>
      <c r="Y7" s="4">
        <f t="shared" si="1"/>
        <v>0</v>
      </c>
      <c r="Z7" s="51">
        <f t="shared" si="1"/>
        <v>0</v>
      </c>
      <c r="AA7" s="51">
        <f t="shared" si="1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1"/>
        <v>0</v>
      </c>
      <c r="AD7" s="4">
        <f t="shared" ref="AD7:AD8" si="2">SUM(C7:AC7)</f>
        <v>10</v>
      </c>
      <c r="AE7" s="4">
        <f t="shared" ref="AE7:AE8" si="3">SUM(J7:U7)</f>
        <v>5</v>
      </c>
      <c r="AF7" s="78"/>
    </row>
    <row r="8" spans="1:32" ht="22.5" customHeight="1" thickBot="1">
      <c r="A8" s="96"/>
      <c r="B8" s="7" t="s">
        <v>43</v>
      </c>
      <c r="C8" s="37">
        <f>SUM(C13,C16,C19,C22,C25,C28,C31,C34,C37,C40,C43,C46,C49,C52,C55,C58,C61,C64,C67,C70,C73,C76,C79,C82,C85,C88,C91,C94,C97,C100,C103)</f>
        <v>0</v>
      </c>
      <c r="D8" s="37">
        <f t="shared" ref="D8:AC8" si="4">SUM(D13,D16,D19,D22,D25,D28,D31,D34,D37,D40,D43,D46,D49,D52,D55,D58,D61,D64,D67,D70,D73,D76,D79,D82,D85,D88,D91,D94,D97,D100,D103)</f>
        <v>0</v>
      </c>
      <c r="E8" s="37">
        <f t="shared" si="4"/>
        <v>0</v>
      </c>
      <c r="F8" s="37">
        <f t="shared" si="4"/>
        <v>0</v>
      </c>
      <c r="G8" s="37">
        <f t="shared" si="4"/>
        <v>0</v>
      </c>
      <c r="H8" s="37">
        <f t="shared" si="4"/>
        <v>0</v>
      </c>
      <c r="I8" s="37">
        <f t="shared" si="4"/>
        <v>0</v>
      </c>
      <c r="J8" s="37">
        <f t="shared" si="4"/>
        <v>0</v>
      </c>
      <c r="K8" s="37">
        <f t="shared" si="4"/>
        <v>0</v>
      </c>
      <c r="L8" s="37">
        <f t="shared" si="4"/>
        <v>0</v>
      </c>
      <c r="M8" s="37">
        <f t="shared" si="4"/>
        <v>0</v>
      </c>
      <c r="N8" s="37">
        <f t="shared" si="4"/>
        <v>0</v>
      </c>
      <c r="O8" s="37">
        <f t="shared" si="4"/>
        <v>0</v>
      </c>
      <c r="P8" s="37">
        <f t="shared" si="4"/>
        <v>0</v>
      </c>
      <c r="Q8" s="37">
        <f t="shared" si="4"/>
        <v>0</v>
      </c>
      <c r="R8" s="37">
        <f t="shared" si="4"/>
        <v>0</v>
      </c>
      <c r="S8" s="37">
        <f t="shared" si="4"/>
        <v>0</v>
      </c>
      <c r="T8" s="37">
        <f t="shared" si="4"/>
        <v>0</v>
      </c>
      <c r="U8" s="37">
        <f t="shared" si="4"/>
        <v>0</v>
      </c>
      <c r="V8" s="37">
        <f t="shared" si="4"/>
        <v>0</v>
      </c>
      <c r="W8" s="37">
        <f t="shared" si="4"/>
        <v>0</v>
      </c>
      <c r="X8" s="37">
        <f t="shared" si="4"/>
        <v>0</v>
      </c>
      <c r="Y8" s="37">
        <f t="shared" si="4"/>
        <v>0</v>
      </c>
      <c r="Z8" s="52">
        <f t="shared" si="1"/>
        <v>1</v>
      </c>
      <c r="AA8" s="52">
        <f t="shared" si="1"/>
        <v>2</v>
      </c>
      <c r="AB8" s="52">
        <f>SUM(AB13,AB16,AB19,AB22,AB25,AB28,AB31,AB34,AB37,AB40,AB43,AB46,AB49,AB52,AB55,AB58,AB61,AB64,AB67,AB70,AB73,AB76,AB79,AB82,AB85,AB88,AB91,AB94,AB97,AB100,AB103)</f>
        <v>5</v>
      </c>
      <c r="AC8" s="37">
        <f t="shared" si="4"/>
        <v>0</v>
      </c>
      <c r="AD8" s="7">
        <f t="shared" si="2"/>
        <v>8</v>
      </c>
      <c r="AE8" s="7">
        <f t="shared" si="3"/>
        <v>0</v>
      </c>
      <c r="AF8" s="78"/>
    </row>
    <row r="9" spans="1:32" ht="15.5" thickTop="1" thickBot="1">
      <c r="Z9" s="83">
        <f>SUM(Z6:AB8)</f>
        <v>8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>
        <v>2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>
        <v>1</v>
      </c>
      <c r="W11" s="5"/>
      <c r="X11" s="5">
        <v>2</v>
      </c>
      <c r="Y11" s="5"/>
      <c r="Z11" s="5"/>
      <c r="AA11" s="5"/>
      <c r="AB11" s="5"/>
      <c r="AC11" s="32"/>
      <c r="AD11" s="40">
        <f>SUM(C11:AC11)</f>
        <v>5</v>
      </c>
      <c r="AE11" s="31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5">SUM(C12:AC12)</f>
        <v>0</v>
      </c>
      <c r="AE12" s="31">
        <f t="shared" ref="AE12:AE75" si="6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5"/>
        <v>0</v>
      </c>
      <c r="AE13" s="31">
        <f t="shared" si="6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>
        <v>1</v>
      </c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32"/>
      <c r="AD14" s="40">
        <f t="shared" si="5"/>
        <v>1</v>
      </c>
      <c r="AE14" s="31">
        <f t="shared" si="6"/>
        <v>1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5"/>
        <v>0</v>
      </c>
      <c r="AE15" s="31">
        <f t="shared" si="6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>
        <v>1</v>
      </c>
      <c r="AC16" s="34"/>
      <c r="AD16" s="40">
        <f t="shared" si="5"/>
        <v>1</v>
      </c>
      <c r="AE16" s="31">
        <f t="shared" si="6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32"/>
      <c r="AD17" s="40">
        <f t="shared" si="5"/>
        <v>0</v>
      </c>
      <c r="AE17" s="31">
        <f t="shared" si="6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5"/>
        <v>0</v>
      </c>
      <c r="AE18" s="31">
        <f t="shared" si="6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5"/>
        <v>0</v>
      </c>
      <c r="AE19" s="31">
        <f t="shared" si="6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32"/>
      <c r="AD20" s="40">
        <f t="shared" si="5"/>
        <v>0</v>
      </c>
      <c r="AE20" s="31">
        <f t="shared" si="6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5"/>
        <v>0</v>
      </c>
      <c r="AE21" s="31">
        <f t="shared" si="6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5"/>
        <v>0</v>
      </c>
      <c r="AE22" s="31">
        <f t="shared" si="6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5"/>
        <v>0</v>
      </c>
      <c r="AE23" s="31">
        <f t="shared" si="6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5"/>
        <v>0</v>
      </c>
      <c r="AE24" s="31">
        <f t="shared" si="6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5"/>
        <v>0</v>
      </c>
      <c r="AE25" s="31">
        <f t="shared" si="6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5"/>
        <v>0</v>
      </c>
      <c r="AE26" s="31">
        <f t="shared" si="6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5"/>
        <v>0</v>
      </c>
      <c r="AE27" s="31">
        <f t="shared" si="6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5"/>
        <v>0</v>
      </c>
      <c r="AE28" s="31">
        <f t="shared" si="6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>
        <v>1</v>
      </c>
      <c r="I29" s="5"/>
      <c r="J29" s="5"/>
      <c r="K29" s="5"/>
      <c r="L29" s="5"/>
      <c r="M29" s="5"/>
      <c r="N29" s="5"/>
      <c r="O29" s="5"/>
      <c r="P29" s="5"/>
      <c r="Q29" s="5">
        <v>1</v>
      </c>
      <c r="R29" s="5"/>
      <c r="S29" s="5"/>
      <c r="T29" s="5"/>
      <c r="U29" s="5">
        <v>1</v>
      </c>
      <c r="V29" s="5">
        <v>1</v>
      </c>
      <c r="W29" s="5"/>
      <c r="X29" s="5"/>
      <c r="Y29" s="5"/>
      <c r="Z29" s="5"/>
      <c r="AA29" s="5"/>
      <c r="AB29" s="5"/>
      <c r="AC29" s="32"/>
      <c r="AD29" s="40">
        <f t="shared" si="5"/>
        <v>4</v>
      </c>
      <c r="AE29" s="31">
        <f t="shared" si="6"/>
        <v>2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>
        <v>1</v>
      </c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5"/>
        <v>1</v>
      </c>
      <c r="AE30" s="31">
        <f t="shared" si="6"/>
        <v>1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5"/>
        <v>0</v>
      </c>
      <c r="AE31" s="31">
        <f t="shared" si="6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>
        <v>1</v>
      </c>
      <c r="R32" s="5"/>
      <c r="S32" s="5"/>
      <c r="T32" s="5"/>
      <c r="U32" s="5"/>
      <c r="V32" s="5">
        <v>1</v>
      </c>
      <c r="W32" s="5"/>
      <c r="X32" s="5"/>
      <c r="Y32" s="5"/>
      <c r="Z32" s="5"/>
      <c r="AA32" s="5"/>
      <c r="AB32" s="5"/>
      <c r="AC32" s="32"/>
      <c r="AD32" s="40">
        <f t="shared" si="5"/>
        <v>2</v>
      </c>
      <c r="AE32" s="31">
        <f t="shared" si="6"/>
        <v>1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5"/>
        <v>0</v>
      </c>
      <c r="AE33" s="31">
        <f t="shared" si="6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5"/>
        <v>0</v>
      </c>
      <c r="AE34" s="31">
        <f t="shared" si="6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>
        <v>1</v>
      </c>
      <c r="W35" s="5"/>
      <c r="X35" s="5"/>
      <c r="Y35" s="5"/>
      <c r="Z35" s="5"/>
      <c r="AA35" s="5"/>
      <c r="AB35" s="5"/>
      <c r="AC35" s="32"/>
      <c r="AD35" s="40">
        <f t="shared" si="5"/>
        <v>1</v>
      </c>
      <c r="AE35" s="31">
        <f t="shared" si="6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>
        <v>1</v>
      </c>
      <c r="V36" s="4"/>
      <c r="W36" s="4"/>
      <c r="X36" s="4"/>
      <c r="Y36" s="4"/>
      <c r="Z36" s="4"/>
      <c r="AA36" s="4"/>
      <c r="AB36" s="4"/>
      <c r="AC36" s="33"/>
      <c r="AD36" s="40">
        <f t="shared" si="5"/>
        <v>1</v>
      </c>
      <c r="AE36" s="31">
        <f t="shared" si="6"/>
        <v>1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5"/>
        <v>0</v>
      </c>
      <c r="AE37" s="31">
        <f t="shared" si="6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>
        <v>1</v>
      </c>
      <c r="Q38" s="5"/>
      <c r="R38" s="5"/>
      <c r="S38" s="5"/>
      <c r="T38" s="5"/>
      <c r="U38" s="5"/>
      <c r="V38" s="5">
        <v>2</v>
      </c>
      <c r="W38" s="5"/>
      <c r="X38" s="5"/>
      <c r="Y38" s="5"/>
      <c r="Z38" s="5"/>
      <c r="AA38" s="5"/>
      <c r="AB38" s="5"/>
      <c r="AC38" s="32"/>
      <c r="AD38" s="40">
        <f t="shared" si="5"/>
        <v>3</v>
      </c>
      <c r="AE38" s="31">
        <f t="shared" si="6"/>
        <v>1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5"/>
        <v>0</v>
      </c>
      <c r="AE39" s="31">
        <f t="shared" si="6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5"/>
        <v>0</v>
      </c>
      <c r="AE40" s="31">
        <f t="shared" si="6"/>
        <v>0</v>
      </c>
    </row>
    <row r="41" spans="1:31" ht="15" thickTop="1">
      <c r="A41" s="63">
        <v>11</v>
      </c>
      <c r="C41" s="28"/>
      <c r="D41" s="5">
        <v>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>
        <v>1</v>
      </c>
      <c r="R41" s="5"/>
      <c r="S41" s="5"/>
      <c r="T41" s="5"/>
      <c r="U41" s="5"/>
      <c r="V41" s="5">
        <v>1</v>
      </c>
      <c r="W41" s="5"/>
      <c r="X41" s="5"/>
      <c r="Y41" s="5"/>
      <c r="Z41" s="5"/>
      <c r="AA41" s="5"/>
      <c r="AB41" s="5"/>
      <c r="AC41" s="32"/>
      <c r="AD41" s="40">
        <f t="shared" si="5"/>
        <v>3</v>
      </c>
      <c r="AE41" s="31">
        <f t="shared" si="6"/>
        <v>1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5"/>
        <v>0</v>
      </c>
      <c r="AE42" s="31">
        <f t="shared" si="6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>
        <v>1</v>
      </c>
      <c r="AA43" s="7">
        <v>1</v>
      </c>
      <c r="AB43" s="7"/>
      <c r="AC43" s="34"/>
      <c r="AD43" s="40">
        <f t="shared" si="5"/>
        <v>2</v>
      </c>
      <c r="AE43" s="31">
        <f t="shared" si="6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32"/>
      <c r="AD44" s="40">
        <f t="shared" si="5"/>
        <v>0</v>
      </c>
      <c r="AE44" s="31">
        <f t="shared" si="6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5"/>
        <v>0</v>
      </c>
      <c r="AE45" s="31">
        <f t="shared" si="6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5"/>
        <v>0</v>
      </c>
      <c r="AE46" s="31">
        <f t="shared" si="6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5"/>
        <v>0</v>
      </c>
      <c r="AE47" s="31">
        <f t="shared" si="6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5"/>
        <v>0</v>
      </c>
      <c r="AE48" s="31">
        <f t="shared" si="6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5"/>
        <v>0</v>
      </c>
      <c r="AE49" s="31">
        <f t="shared" si="6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>
        <v>1</v>
      </c>
      <c r="I50" s="5"/>
      <c r="J50" s="5"/>
      <c r="K50" s="5"/>
      <c r="L50" s="5"/>
      <c r="M50" s="5"/>
      <c r="N50" s="5"/>
      <c r="O50" s="5"/>
      <c r="P50" s="5"/>
      <c r="Q50" s="5">
        <v>1</v>
      </c>
      <c r="R50" s="5"/>
      <c r="S50" s="5"/>
      <c r="T50" s="5"/>
      <c r="U50" s="5"/>
      <c r="V50" s="5">
        <v>1</v>
      </c>
      <c r="W50" s="5"/>
      <c r="X50" s="5"/>
      <c r="Y50" s="5"/>
      <c r="Z50" s="5"/>
      <c r="AA50" s="5"/>
      <c r="AB50" s="5"/>
      <c r="AC50" s="32"/>
      <c r="AD50" s="40">
        <f t="shared" si="5"/>
        <v>3</v>
      </c>
      <c r="AE50" s="31">
        <f t="shared" si="6"/>
        <v>1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>
        <v>1</v>
      </c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5"/>
        <v>1</v>
      </c>
      <c r="AE51" s="31">
        <f t="shared" si="6"/>
        <v>1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5"/>
        <v>0</v>
      </c>
      <c r="AE52" s="31">
        <f t="shared" si="6"/>
        <v>0</v>
      </c>
    </row>
    <row r="53" spans="1:31" ht="15" thickTop="1">
      <c r="A53" s="63">
        <v>15</v>
      </c>
      <c r="C53" s="5"/>
      <c r="D53" s="5"/>
      <c r="E53" s="5">
        <v>1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>
        <v>1</v>
      </c>
      <c r="X53" s="5"/>
      <c r="Y53" s="5"/>
      <c r="Z53" s="5"/>
      <c r="AA53" s="5"/>
      <c r="AB53" s="5"/>
      <c r="AC53" s="32"/>
      <c r="AD53" s="40">
        <f t="shared" si="5"/>
        <v>2</v>
      </c>
      <c r="AE53" s="31">
        <f t="shared" si="6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5"/>
        <v>0</v>
      </c>
      <c r="AE54" s="31">
        <f t="shared" si="6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5"/>
        <v>0</v>
      </c>
      <c r="AE55" s="31">
        <f t="shared" si="6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32"/>
      <c r="AD56" s="40">
        <f t="shared" si="5"/>
        <v>0</v>
      </c>
      <c r="AE56" s="31">
        <f t="shared" si="6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5"/>
        <v>0</v>
      </c>
      <c r="AE57" s="31">
        <f t="shared" si="6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5"/>
        <v>0</v>
      </c>
      <c r="AE58" s="31">
        <f t="shared" si="6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>
        <v>1</v>
      </c>
      <c r="W59" s="5"/>
      <c r="X59" s="5"/>
      <c r="Y59" s="5"/>
      <c r="Z59" s="5"/>
      <c r="AA59" s="5"/>
      <c r="AB59" s="5"/>
      <c r="AC59" s="32"/>
      <c r="AD59" s="40">
        <f t="shared" si="5"/>
        <v>1</v>
      </c>
      <c r="AE59" s="31">
        <f t="shared" si="6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5"/>
        <v>0</v>
      </c>
      <c r="AE60" s="31">
        <f t="shared" si="6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>
        <v>1</v>
      </c>
      <c r="AC61" s="34"/>
      <c r="AD61" s="40">
        <f t="shared" si="5"/>
        <v>1</v>
      </c>
      <c r="AE61" s="31">
        <f t="shared" si="6"/>
        <v>0</v>
      </c>
    </row>
    <row r="62" spans="1:31" ht="15" thickTop="1">
      <c r="A62" s="63">
        <v>18</v>
      </c>
      <c r="C62" s="28">
        <v>1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>
        <v>2</v>
      </c>
      <c r="W62" s="5"/>
      <c r="X62" s="5"/>
      <c r="Y62" s="5"/>
      <c r="Z62" s="5"/>
      <c r="AA62" s="5"/>
      <c r="AB62" s="5"/>
      <c r="AC62" s="32"/>
      <c r="AD62" s="40">
        <f t="shared" si="5"/>
        <v>3</v>
      </c>
      <c r="AE62" s="31">
        <f t="shared" si="6"/>
        <v>0</v>
      </c>
    </row>
    <row r="63" spans="1:31">
      <c r="A63" s="63"/>
      <c r="C63" s="29">
        <v>1</v>
      </c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>
        <v>2</v>
      </c>
      <c r="W63" s="4"/>
      <c r="X63" s="4"/>
      <c r="Y63" s="4"/>
      <c r="Z63" s="4"/>
      <c r="AA63" s="4"/>
      <c r="AB63" s="4"/>
      <c r="AC63" s="33"/>
      <c r="AD63" s="40">
        <f t="shared" si="5"/>
        <v>3</v>
      </c>
      <c r="AE63" s="31">
        <f t="shared" si="6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5"/>
        <v>0</v>
      </c>
      <c r="AE64" s="31">
        <f t="shared" si="6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5"/>
        <v>0</v>
      </c>
      <c r="AE65" s="31">
        <f t="shared" si="6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5"/>
        <v>0</v>
      </c>
      <c r="AE66" s="31">
        <f t="shared" si="6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5"/>
        <v>0</v>
      </c>
      <c r="AE67" s="31">
        <f t="shared" si="6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5"/>
        <v>0</v>
      </c>
      <c r="AE68" s="31">
        <f t="shared" si="6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5"/>
        <v>0</v>
      </c>
      <c r="AE69" s="31">
        <f t="shared" si="6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5"/>
        <v>0</v>
      </c>
      <c r="AE70" s="31">
        <f t="shared" si="6"/>
        <v>0</v>
      </c>
    </row>
    <row r="71" spans="1:31" ht="15" thickTop="1">
      <c r="A71" s="63">
        <v>21</v>
      </c>
      <c r="C71" s="28"/>
      <c r="D71" s="5">
        <v>2</v>
      </c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>
        <v>1</v>
      </c>
      <c r="W71" s="5">
        <v>1</v>
      </c>
      <c r="X71" s="5">
        <v>2</v>
      </c>
      <c r="Y71" s="5"/>
      <c r="Z71" s="5"/>
      <c r="AA71" s="5"/>
      <c r="AB71" s="5"/>
      <c r="AC71" s="32"/>
      <c r="AD71" s="40">
        <f t="shared" si="5"/>
        <v>6</v>
      </c>
      <c r="AE71" s="31">
        <f t="shared" si="6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5"/>
        <v>0</v>
      </c>
      <c r="AE72" s="31">
        <f t="shared" si="6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5"/>
        <v>0</v>
      </c>
      <c r="AE73" s="31">
        <f t="shared" si="6"/>
        <v>0</v>
      </c>
    </row>
    <row r="74" spans="1:31" ht="15" thickTop="1">
      <c r="A74" s="63">
        <v>22</v>
      </c>
      <c r="C74" s="2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32"/>
      <c r="AD74" s="40">
        <f t="shared" si="5"/>
        <v>0</v>
      </c>
      <c r="AE74" s="31">
        <f t="shared" si="6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5"/>
        <v>0</v>
      </c>
      <c r="AE75" s="31">
        <f t="shared" si="6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7">SUM(C76:AC76)</f>
        <v>0</v>
      </c>
      <c r="AE76" s="31">
        <f t="shared" ref="AE76:AE103" si="8">SUM(J76:U76)</f>
        <v>0</v>
      </c>
    </row>
    <row r="77" spans="1:31" ht="15" thickTop="1">
      <c r="A77" s="63">
        <v>23</v>
      </c>
      <c r="C77" s="28"/>
      <c r="D77" s="5">
        <v>1</v>
      </c>
      <c r="E77" s="5">
        <v>1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32"/>
      <c r="AD77" s="40">
        <f t="shared" si="7"/>
        <v>2</v>
      </c>
      <c r="AE77" s="31">
        <f t="shared" si="8"/>
        <v>0</v>
      </c>
    </row>
    <row r="78" spans="1:31">
      <c r="A78" s="63"/>
      <c r="C78" s="29"/>
      <c r="D78" s="4">
        <v>1</v>
      </c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7"/>
        <v>1</v>
      </c>
      <c r="AE78" s="31">
        <f t="shared" si="8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>
        <v>1</v>
      </c>
      <c r="AC79" s="34"/>
      <c r="AD79" s="40">
        <f t="shared" si="7"/>
        <v>1</v>
      </c>
      <c r="AE79" s="31">
        <f t="shared" si="8"/>
        <v>0</v>
      </c>
    </row>
    <row r="80" spans="1:31" ht="15" thickTop="1">
      <c r="A80" s="63">
        <v>24</v>
      </c>
      <c r="C80" s="28">
        <v>1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>
        <v>1</v>
      </c>
      <c r="U80" s="5"/>
      <c r="V80" s="5">
        <v>1</v>
      </c>
      <c r="W80" s="5"/>
      <c r="X80" s="5"/>
      <c r="Y80" s="5"/>
      <c r="Z80" s="5"/>
      <c r="AA80" s="5"/>
      <c r="AB80" s="5"/>
      <c r="AC80" s="32"/>
      <c r="AD80" s="40">
        <f t="shared" si="7"/>
        <v>3</v>
      </c>
      <c r="AE80" s="31">
        <f t="shared" si="8"/>
        <v>1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7"/>
        <v>0</v>
      </c>
      <c r="AE81" s="31">
        <f t="shared" si="8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7"/>
        <v>0</v>
      </c>
      <c r="AE82" s="31">
        <f t="shared" si="8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32"/>
      <c r="AD83" s="40">
        <f t="shared" si="7"/>
        <v>0</v>
      </c>
      <c r="AE83" s="31">
        <f t="shared" si="8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7"/>
        <v>0</v>
      </c>
      <c r="AE84" s="31">
        <f t="shared" si="8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>
        <v>1</v>
      </c>
      <c r="AC85" s="34"/>
      <c r="AD85" s="40">
        <f t="shared" si="7"/>
        <v>1</v>
      </c>
      <c r="AE85" s="31">
        <f t="shared" si="8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7"/>
        <v>0</v>
      </c>
      <c r="AE86" s="31">
        <f t="shared" si="8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7"/>
        <v>0</v>
      </c>
      <c r="AE87" s="31">
        <f t="shared" si="8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7"/>
        <v>0</v>
      </c>
      <c r="AE88" s="31">
        <f t="shared" si="8"/>
        <v>0</v>
      </c>
    </row>
    <row r="89" spans="1:31" ht="15" thickTop="1">
      <c r="A89" s="63">
        <v>27</v>
      </c>
      <c r="C89" s="2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32"/>
      <c r="AD89" s="40">
        <f t="shared" si="7"/>
        <v>0</v>
      </c>
      <c r="AE89" s="31">
        <f t="shared" si="8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7"/>
        <v>0</v>
      </c>
      <c r="AE90" s="31">
        <f t="shared" si="8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34"/>
      <c r="AD91" s="40">
        <f t="shared" si="7"/>
        <v>0</v>
      </c>
      <c r="AE91" s="31">
        <f t="shared" si="8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32"/>
      <c r="AD92" s="40">
        <f t="shared" si="7"/>
        <v>0</v>
      </c>
      <c r="AE92" s="31">
        <f t="shared" si="8"/>
        <v>0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7"/>
        <v>0</v>
      </c>
      <c r="AE93" s="31">
        <f t="shared" si="8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>
        <v>1</v>
      </c>
      <c r="AB94" s="7"/>
      <c r="AC94" s="34"/>
      <c r="AD94" s="40">
        <f t="shared" si="7"/>
        <v>1</v>
      </c>
      <c r="AE94" s="31">
        <f t="shared" si="8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7"/>
        <v>0</v>
      </c>
      <c r="AE95" s="31">
        <f t="shared" si="8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7"/>
        <v>0</v>
      </c>
      <c r="AE96" s="31">
        <f t="shared" si="8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7"/>
        <v>0</v>
      </c>
      <c r="AE97" s="31">
        <f t="shared" si="8"/>
        <v>0</v>
      </c>
    </row>
    <row r="98" spans="1:31" ht="15" thickTop="1">
      <c r="A98" s="63">
        <v>30</v>
      </c>
      <c r="C98" s="28"/>
      <c r="D98" s="5">
        <v>1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>
        <v>1</v>
      </c>
      <c r="Q98" s="5"/>
      <c r="R98" s="5"/>
      <c r="S98" s="5"/>
      <c r="T98" s="5"/>
      <c r="U98" s="5"/>
      <c r="V98" s="5">
        <v>5</v>
      </c>
      <c r="W98" s="5"/>
      <c r="X98" s="5">
        <v>2</v>
      </c>
      <c r="Y98" s="5"/>
      <c r="Z98" s="5"/>
      <c r="AA98" s="5"/>
      <c r="AB98" s="5"/>
      <c r="AC98" s="32"/>
      <c r="AD98" s="40">
        <f t="shared" si="7"/>
        <v>9</v>
      </c>
      <c r="AE98" s="31">
        <f t="shared" si="8"/>
        <v>1</v>
      </c>
    </row>
    <row r="99" spans="1:31">
      <c r="A99" s="63"/>
      <c r="C99" s="29"/>
      <c r="D99" s="4"/>
      <c r="E99" s="4"/>
      <c r="F99" s="4"/>
      <c r="G99" s="4"/>
      <c r="H99" s="4">
        <v>1</v>
      </c>
      <c r="I99" s="4"/>
      <c r="J99" s="4"/>
      <c r="K99" s="4"/>
      <c r="L99" s="4"/>
      <c r="M99" s="4"/>
      <c r="N99" s="4"/>
      <c r="O99" s="4"/>
      <c r="P99" s="4"/>
      <c r="Q99" s="4">
        <v>1</v>
      </c>
      <c r="R99" s="4"/>
      <c r="S99" s="4"/>
      <c r="T99" s="4">
        <v>1</v>
      </c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7"/>
        <v>3</v>
      </c>
      <c r="AE99" s="31">
        <f t="shared" si="8"/>
        <v>2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>
        <v>1</v>
      </c>
      <c r="AC100" s="34"/>
      <c r="AD100" s="40">
        <f t="shared" si="7"/>
        <v>1</v>
      </c>
      <c r="AE100" s="31">
        <f t="shared" si="8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7"/>
        <v>0</v>
      </c>
      <c r="AE101" s="31">
        <f t="shared" si="8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7"/>
        <v>0</v>
      </c>
      <c r="AE102" s="31">
        <f t="shared" si="8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7"/>
        <v>0</v>
      </c>
      <c r="AE103" s="31">
        <f t="shared" si="8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13" priority="1">
      <formula>OR(CELL("col")=COLUMN(),CELL("row")=ROW())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28DF-1604-4A42-B51F-38CB981165EE}">
  <sheetPr codeName="Sheet10"/>
  <dimension ref="A1:AF104"/>
  <sheetViews>
    <sheetView rightToLeft="1" zoomScale="60" zoomScaleNormal="60" workbookViewId="0">
      <pane xSplit="1" ySplit="9" topLeftCell="B66" activePane="bottomRight" state="frozen"/>
      <selection pane="topRight" activeCell="B1" sqref="B1"/>
      <selection pane="bottomLeft" activeCell="A10" sqref="A10"/>
      <selection pane="bottomRight" activeCell="E80" sqref="E80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52</v>
      </c>
      <c r="B6" s="5" t="s">
        <v>41</v>
      </c>
      <c r="C6" s="38">
        <f t="shared" ref="C6:R6" si="0">SUM(C11,C14,C17,C20,C23,C26,C29,C32,C35,C38,C41,C44,C47,C50,C53,C56,C59,C62,C65,C68,C71,C74,C77,C80,C83,C86,C89,C92,C95,C98,C101)</f>
        <v>0</v>
      </c>
      <c r="D6" s="38">
        <f t="shared" si="0"/>
        <v>3</v>
      </c>
      <c r="E6" s="38">
        <f t="shared" si="0"/>
        <v>0</v>
      </c>
      <c r="F6" s="38">
        <f t="shared" si="0"/>
        <v>0</v>
      </c>
      <c r="G6" s="38">
        <f t="shared" si="0"/>
        <v>0</v>
      </c>
      <c r="H6" s="38">
        <f t="shared" si="0"/>
        <v>1</v>
      </c>
      <c r="I6" s="38">
        <f t="shared" si="0"/>
        <v>0</v>
      </c>
      <c r="J6" s="38">
        <f t="shared" si="0"/>
        <v>1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0</v>
      </c>
      <c r="P6" s="38">
        <f t="shared" si="0"/>
        <v>1</v>
      </c>
      <c r="Q6" s="38">
        <f t="shared" si="0"/>
        <v>5</v>
      </c>
      <c r="R6" s="38">
        <f t="shared" si="0"/>
        <v>1</v>
      </c>
      <c r="S6" s="38">
        <f t="shared" ref="S6:AC6" si="1">SUM(S11,S14,S17,S20,S23,S26,S29,S32,S35,S38,S41,S44,S47,S50,S53,S56,S59,S62,S65,S68,S71,S74,S77,S80,S83,S86,S89,S92,S95,S98,S101)</f>
        <v>0</v>
      </c>
      <c r="T6" s="38">
        <f t="shared" si="1"/>
        <v>2</v>
      </c>
      <c r="U6" s="38">
        <f t="shared" si="1"/>
        <v>0</v>
      </c>
      <c r="V6" s="38">
        <f t="shared" si="1"/>
        <v>14</v>
      </c>
      <c r="W6" s="38">
        <f t="shared" si="1"/>
        <v>0</v>
      </c>
      <c r="X6" s="38">
        <f t="shared" si="1"/>
        <v>8</v>
      </c>
      <c r="Y6" s="38">
        <f t="shared" si="1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8">
        <f t="shared" si="1"/>
        <v>0</v>
      </c>
      <c r="AD6" s="5">
        <f>SUM(C6:AC6)</f>
        <v>36</v>
      </c>
      <c r="AE6" s="5">
        <f>SUM(J6:U6)</f>
        <v>10</v>
      </c>
      <c r="AF6" s="78">
        <f>(AE6+AE7+AE8)/(AD6+AD7+AD8-Z9)*100</f>
        <v>35</v>
      </c>
    </row>
    <row r="7" spans="1:32" ht="22.5" customHeight="1">
      <c r="A7" s="95"/>
      <c r="B7" s="4" t="s">
        <v>42</v>
      </c>
      <c r="C7" s="4">
        <f>SUM(C12,C15,C18,C21,C24,C27,C30,C33,C36,C39,C42,C45,C48,C51,C54,C57,C60,C63,C66,C69,C72,C75,C78,C81,C84,C87,C90,C93,C96,C99,C102)</f>
        <v>0</v>
      </c>
      <c r="D7" s="4">
        <f>SUM(D12,D15,D18,D21,D24,D27,D30,D33,D36,D39,D42,D45,D48,D51,D54,D57,D60,D63,D66,D69,D72,D75,D78,D81,D84,D87,D90,D93,D96,D99,D102)</f>
        <v>0</v>
      </c>
      <c r="E7" s="4">
        <f t="shared" ref="E7:AC8" si="2">SUM(E12,E15,E18,E21,E24,E27,E30,E33,E36,E39,E42,E45,E48,E51,E54,E57,E60,E63,E66,E69,E72,E75,E78,E81,E84,E87,E90,E93,E96,E99,E102)</f>
        <v>0</v>
      </c>
      <c r="F7" s="4">
        <f t="shared" si="2"/>
        <v>0</v>
      </c>
      <c r="G7" s="4">
        <f t="shared" si="2"/>
        <v>0</v>
      </c>
      <c r="H7" s="4">
        <f t="shared" si="2"/>
        <v>0</v>
      </c>
      <c r="I7" s="4">
        <f t="shared" si="2"/>
        <v>0</v>
      </c>
      <c r="J7" s="4">
        <f t="shared" si="2"/>
        <v>0</v>
      </c>
      <c r="K7" s="4">
        <f t="shared" si="2"/>
        <v>0</v>
      </c>
      <c r="L7" s="4">
        <f t="shared" si="2"/>
        <v>0</v>
      </c>
      <c r="M7" s="4">
        <f t="shared" si="2"/>
        <v>0</v>
      </c>
      <c r="N7" s="4">
        <f t="shared" si="2"/>
        <v>0</v>
      </c>
      <c r="O7" s="4">
        <f t="shared" si="2"/>
        <v>0</v>
      </c>
      <c r="P7" s="4">
        <f t="shared" si="2"/>
        <v>0</v>
      </c>
      <c r="Q7" s="4">
        <f t="shared" si="2"/>
        <v>0</v>
      </c>
      <c r="R7" s="4">
        <f t="shared" si="2"/>
        <v>0</v>
      </c>
      <c r="S7" s="4">
        <f t="shared" si="2"/>
        <v>0</v>
      </c>
      <c r="T7" s="4">
        <f t="shared" si="2"/>
        <v>1</v>
      </c>
      <c r="U7" s="4">
        <f t="shared" si="2"/>
        <v>0</v>
      </c>
      <c r="V7" s="4">
        <f t="shared" si="2"/>
        <v>0</v>
      </c>
      <c r="W7" s="4">
        <f t="shared" si="2"/>
        <v>0</v>
      </c>
      <c r="X7" s="4">
        <f t="shared" si="2"/>
        <v>0</v>
      </c>
      <c r="Y7" s="4">
        <f t="shared" si="2"/>
        <v>0</v>
      </c>
      <c r="Z7" s="51">
        <f t="shared" si="2"/>
        <v>0</v>
      </c>
      <c r="AA7" s="51">
        <f t="shared" si="2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2"/>
        <v>0</v>
      </c>
      <c r="AD7" s="4">
        <f>SUM(D7:AC7)</f>
        <v>1</v>
      </c>
      <c r="AE7" s="4">
        <f t="shared" ref="AE7:AE8" si="3">SUM(J7:U7)</f>
        <v>1</v>
      </c>
      <c r="AF7" s="78"/>
    </row>
    <row r="8" spans="1:32" ht="22.5" customHeight="1" thickBot="1">
      <c r="A8" s="96"/>
      <c r="B8" s="7" t="s">
        <v>43</v>
      </c>
      <c r="C8" s="37">
        <f>SUM(C13,C16,C19,C22,C25,C28,C31,C34,C37,C40,C43,C46,C49,C52,C55,C58,C61,C64,C67,C70,C73,C76,C79,C82,C85,C88,C91,C94,C97,C100,C103)</f>
        <v>0</v>
      </c>
      <c r="D8" s="37">
        <f t="shared" ref="D8:AC8" si="4">SUM(D13,D16,D19,D22,D25,D28,D31,D34,D37,D40,D43,D46,D49,D52,D55,D58,D61,D64,D67,D70,D73,D76,D79,D82,D85,D88,D91,D94,D97,D100,D103)</f>
        <v>0</v>
      </c>
      <c r="E8" s="37">
        <f t="shared" si="4"/>
        <v>0</v>
      </c>
      <c r="F8" s="37">
        <f t="shared" si="4"/>
        <v>0</v>
      </c>
      <c r="G8" s="37">
        <f t="shared" si="4"/>
        <v>0</v>
      </c>
      <c r="H8" s="37">
        <f t="shared" si="4"/>
        <v>0</v>
      </c>
      <c r="I8" s="37">
        <f t="shared" si="4"/>
        <v>0</v>
      </c>
      <c r="J8" s="37">
        <f t="shared" si="4"/>
        <v>0</v>
      </c>
      <c r="K8" s="37">
        <f t="shared" si="4"/>
        <v>0</v>
      </c>
      <c r="L8" s="37">
        <f t="shared" si="4"/>
        <v>0</v>
      </c>
      <c r="M8" s="37">
        <f t="shared" si="4"/>
        <v>0</v>
      </c>
      <c r="N8" s="37">
        <f t="shared" si="4"/>
        <v>0</v>
      </c>
      <c r="O8" s="37">
        <f t="shared" si="4"/>
        <v>0</v>
      </c>
      <c r="P8" s="37">
        <f t="shared" si="4"/>
        <v>0</v>
      </c>
      <c r="Q8" s="37">
        <f t="shared" si="4"/>
        <v>0</v>
      </c>
      <c r="R8" s="37">
        <f t="shared" si="4"/>
        <v>1</v>
      </c>
      <c r="S8" s="37">
        <f t="shared" si="4"/>
        <v>0</v>
      </c>
      <c r="T8" s="37">
        <f t="shared" si="4"/>
        <v>2</v>
      </c>
      <c r="U8" s="37">
        <f t="shared" si="4"/>
        <v>0</v>
      </c>
      <c r="V8" s="37">
        <f t="shared" si="4"/>
        <v>0</v>
      </c>
      <c r="W8" s="37">
        <f t="shared" si="4"/>
        <v>0</v>
      </c>
      <c r="X8" s="37">
        <f t="shared" si="4"/>
        <v>0</v>
      </c>
      <c r="Y8" s="37">
        <f t="shared" si="4"/>
        <v>0</v>
      </c>
      <c r="Z8" s="52">
        <f t="shared" si="2"/>
        <v>1</v>
      </c>
      <c r="AA8" s="52">
        <f t="shared" si="2"/>
        <v>0</v>
      </c>
      <c r="AB8" s="52">
        <f>SUM(AB13,AB16,AB19,AB22,AB25,AB28,AB31,AB34,AB37,AB40,AB43,AB46,AB49,AB52,AB55,AB58,AB61,AB64,AB67,AB70,AB73,AB76,AB79,AB82,AB85,AB88,AB91,AB94,AB97,AB100,AB103)</f>
        <v>0</v>
      </c>
      <c r="AC8" s="37">
        <f t="shared" si="4"/>
        <v>0</v>
      </c>
      <c r="AD8" s="7">
        <f t="shared" ref="AD8" si="5">SUM(C8:AC8)</f>
        <v>4</v>
      </c>
      <c r="AE8" s="7">
        <f t="shared" si="3"/>
        <v>3</v>
      </c>
      <c r="AF8" s="78"/>
    </row>
    <row r="9" spans="1:32" ht="15.5" thickTop="1" thickBot="1">
      <c r="Z9" s="83">
        <f>SUM(Z6:AB8)</f>
        <v>1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>
        <v>1</v>
      </c>
      <c r="E11" s="5"/>
      <c r="F11" s="5"/>
      <c r="G11" s="5"/>
      <c r="H11" s="5"/>
      <c r="I11" s="5"/>
      <c r="J11" s="5">
        <v>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>
        <v>1</v>
      </c>
      <c r="W11" s="5"/>
      <c r="X11" s="5">
        <v>3</v>
      </c>
      <c r="Y11" s="5"/>
      <c r="Z11" s="5"/>
      <c r="AA11" s="5"/>
      <c r="AB11" s="5"/>
      <c r="AC11" s="32"/>
      <c r="AD11" s="40">
        <f>SUM(C11:AC11)</f>
        <v>6</v>
      </c>
      <c r="AE11" s="31">
        <f>SUM(J11:U11)</f>
        <v>1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6">SUM(C12:AC12)</f>
        <v>0</v>
      </c>
      <c r="AE12" s="31">
        <f t="shared" ref="AE12:AE75" si="7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>
        <v>1</v>
      </c>
      <c r="S13" s="7"/>
      <c r="T13" s="7">
        <v>1</v>
      </c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6"/>
        <v>2</v>
      </c>
      <c r="AE13" s="31">
        <f t="shared" si="7"/>
        <v>2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32"/>
      <c r="AD14" s="40">
        <f t="shared" si="6"/>
        <v>0</v>
      </c>
      <c r="AE14" s="31">
        <f t="shared" si="7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6"/>
        <v>0</v>
      </c>
      <c r="AE15" s="31">
        <f t="shared" si="7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6"/>
        <v>0</v>
      </c>
      <c r="AE16" s="31">
        <f t="shared" si="7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>
        <v>2</v>
      </c>
      <c r="Y17" s="5"/>
      <c r="Z17" s="5"/>
      <c r="AA17" s="5"/>
      <c r="AB17" s="5"/>
      <c r="AC17" s="32"/>
      <c r="AD17" s="40">
        <f t="shared" si="6"/>
        <v>2</v>
      </c>
      <c r="AE17" s="31">
        <f t="shared" si="7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6"/>
        <v>0</v>
      </c>
      <c r="AE18" s="31">
        <f t="shared" si="7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6"/>
        <v>0</v>
      </c>
      <c r="AE19" s="31">
        <f t="shared" si="7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32"/>
      <c r="AD20" s="40">
        <f t="shared" si="6"/>
        <v>0</v>
      </c>
      <c r="AE20" s="31">
        <f t="shared" si="7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6"/>
        <v>0</v>
      </c>
      <c r="AE21" s="31">
        <f t="shared" si="7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6"/>
        <v>0</v>
      </c>
      <c r="AE22" s="31">
        <f t="shared" si="7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6"/>
        <v>0</v>
      </c>
      <c r="AE23" s="31">
        <f t="shared" si="7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6"/>
        <v>0</v>
      </c>
      <c r="AE24" s="31">
        <f t="shared" si="7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6"/>
        <v>0</v>
      </c>
      <c r="AE25" s="31">
        <f t="shared" si="7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6"/>
        <v>0</v>
      </c>
      <c r="AE26" s="31">
        <f t="shared" si="7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6"/>
        <v>0</v>
      </c>
      <c r="AE27" s="31">
        <f t="shared" si="7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6"/>
        <v>0</v>
      </c>
      <c r="AE28" s="31">
        <f t="shared" si="7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32"/>
      <c r="AD29" s="40">
        <f t="shared" si="6"/>
        <v>0</v>
      </c>
      <c r="AE29" s="31">
        <f t="shared" si="7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6"/>
        <v>0</v>
      </c>
      <c r="AE30" s="31">
        <f t="shared" si="7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6"/>
        <v>0</v>
      </c>
      <c r="AE31" s="31">
        <f t="shared" si="7"/>
        <v>0</v>
      </c>
    </row>
    <row r="32" spans="1:31" ht="15" thickTop="1">
      <c r="A32" s="63">
        <v>8</v>
      </c>
      <c r="C32" s="28"/>
      <c r="D32" s="5">
        <v>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>
        <v>1</v>
      </c>
      <c r="R32" s="5"/>
      <c r="S32" s="5"/>
      <c r="T32" s="5"/>
      <c r="U32" s="5"/>
      <c r="V32" s="5">
        <v>3</v>
      </c>
      <c r="W32" s="5"/>
      <c r="X32" s="5">
        <v>1</v>
      </c>
      <c r="Y32" s="5"/>
      <c r="Z32" s="5"/>
      <c r="AA32" s="5"/>
      <c r="AB32" s="5"/>
      <c r="AC32" s="32"/>
      <c r="AD32" s="40">
        <f t="shared" si="6"/>
        <v>6</v>
      </c>
      <c r="AE32" s="31">
        <f t="shared" si="7"/>
        <v>1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6"/>
        <v>0</v>
      </c>
      <c r="AE33" s="31">
        <f t="shared" si="7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>
        <v>1</v>
      </c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6"/>
        <v>1</v>
      </c>
      <c r="AE34" s="31">
        <f t="shared" si="7"/>
        <v>1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2"/>
      <c r="AD35" s="40">
        <f t="shared" si="6"/>
        <v>0</v>
      </c>
      <c r="AE35" s="31">
        <f t="shared" si="7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6"/>
        <v>0</v>
      </c>
      <c r="AE36" s="31">
        <f t="shared" si="7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6"/>
        <v>0</v>
      </c>
      <c r="AE37" s="31">
        <f t="shared" si="7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>
        <v>1</v>
      </c>
      <c r="R38" s="5"/>
      <c r="S38" s="5"/>
      <c r="T38" s="5"/>
      <c r="U38" s="5"/>
      <c r="V38" s="5">
        <v>3</v>
      </c>
      <c r="W38" s="5"/>
      <c r="X38" s="5">
        <v>1</v>
      </c>
      <c r="Y38" s="5"/>
      <c r="Z38" s="5"/>
      <c r="AA38" s="5"/>
      <c r="AB38" s="5"/>
      <c r="AC38" s="32"/>
      <c r="AD38" s="40">
        <f t="shared" si="6"/>
        <v>5</v>
      </c>
      <c r="AE38" s="31">
        <f t="shared" si="7"/>
        <v>1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6"/>
        <v>0</v>
      </c>
      <c r="AE39" s="31">
        <f t="shared" si="7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6"/>
        <v>0</v>
      </c>
      <c r="AE40" s="31">
        <f t="shared" si="7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32"/>
      <c r="AD41" s="40">
        <f t="shared" si="6"/>
        <v>0</v>
      </c>
      <c r="AE41" s="31">
        <f t="shared" si="7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6"/>
        <v>0</v>
      </c>
      <c r="AE42" s="31">
        <f t="shared" si="7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6"/>
        <v>0</v>
      </c>
      <c r="AE43" s="31">
        <f t="shared" si="7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>
        <v>1</v>
      </c>
      <c r="I44" s="5"/>
      <c r="J44" s="5"/>
      <c r="K44" s="5"/>
      <c r="L44" s="5"/>
      <c r="M44" s="5"/>
      <c r="N44" s="5"/>
      <c r="O44" s="5"/>
      <c r="P44" s="5">
        <v>1</v>
      </c>
      <c r="Q44" s="5">
        <v>1</v>
      </c>
      <c r="R44" s="5"/>
      <c r="S44" s="5"/>
      <c r="T44" s="5"/>
      <c r="U44" s="5"/>
      <c r="V44" s="5">
        <v>4</v>
      </c>
      <c r="W44" s="5"/>
      <c r="X44" s="5"/>
      <c r="Y44" s="5"/>
      <c r="Z44" s="5"/>
      <c r="AA44" s="5"/>
      <c r="AB44" s="5"/>
      <c r="AC44" s="32"/>
      <c r="AD44" s="40">
        <f t="shared" si="6"/>
        <v>7</v>
      </c>
      <c r="AE44" s="31">
        <f t="shared" si="7"/>
        <v>2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6"/>
        <v>0</v>
      </c>
      <c r="AE45" s="31">
        <f t="shared" si="7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>
        <v>1</v>
      </c>
      <c r="AA46" s="7"/>
      <c r="AB46" s="7"/>
      <c r="AC46" s="34"/>
      <c r="AD46" s="40">
        <f t="shared" si="6"/>
        <v>1</v>
      </c>
      <c r="AE46" s="31">
        <f t="shared" si="7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6"/>
        <v>0</v>
      </c>
      <c r="AE47" s="31">
        <f t="shared" si="7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6"/>
        <v>0</v>
      </c>
      <c r="AE48" s="31">
        <f t="shared" si="7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6"/>
        <v>0</v>
      </c>
      <c r="AE49" s="31">
        <f t="shared" si="7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6"/>
        <v>0</v>
      </c>
      <c r="AE50" s="31">
        <f t="shared" si="7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6"/>
        <v>0</v>
      </c>
      <c r="AE51" s="31">
        <f t="shared" si="7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6"/>
        <v>0</v>
      </c>
      <c r="AE52" s="31">
        <f t="shared" si="7"/>
        <v>0</v>
      </c>
    </row>
    <row r="53" spans="1:31" ht="15" thickTop="1">
      <c r="A53" s="63">
        <v>15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32"/>
      <c r="AD53" s="40">
        <f t="shared" si="6"/>
        <v>0</v>
      </c>
      <c r="AE53" s="31">
        <f t="shared" si="7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>
        <v>1</v>
      </c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6"/>
        <v>1</v>
      </c>
      <c r="AE54" s="31">
        <f t="shared" si="7"/>
        <v>1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6"/>
        <v>0</v>
      </c>
      <c r="AE55" s="31">
        <f t="shared" si="7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32"/>
      <c r="AD56" s="40">
        <f t="shared" si="6"/>
        <v>0</v>
      </c>
      <c r="AE56" s="31">
        <f t="shared" si="7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6"/>
        <v>0</v>
      </c>
      <c r="AE57" s="31">
        <f t="shared" si="7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6"/>
        <v>0</v>
      </c>
      <c r="AE58" s="31">
        <f t="shared" si="7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32"/>
      <c r="AD59" s="40">
        <f t="shared" si="6"/>
        <v>0</v>
      </c>
      <c r="AE59" s="31">
        <f t="shared" si="7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6"/>
        <v>0</v>
      </c>
      <c r="AE60" s="31">
        <f t="shared" si="7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6"/>
        <v>0</v>
      </c>
      <c r="AE61" s="31">
        <f t="shared" si="7"/>
        <v>0</v>
      </c>
    </row>
    <row r="62" spans="1:31" ht="15" thickTop="1">
      <c r="A62" s="63">
        <v>18</v>
      </c>
      <c r="C62" s="2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6"/>
        <v>0</v>
      </c>
      <c r="AE62" s="31">
        <f t="shared" si="7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6"/>
        <v>0</v>
      </c>
      <c r="AE63" s="31">
        <f t="shared" si="7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6"/>
        <v>0</v>
      </c>
      <c r="AE64" s="31">
        <f t="shared" si="7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2</v>
      </c>
      <c r="U65" s="5"/>
      <c r="V65" s="5">
        <v>1</v>
      </c>
      <c r="W65" s="5"/>
      <c r="X65" s="5">
        <v>1</v>
      </c>
      <c r="Y65" s="5"/>
      <c r="Z65" s="5"/>
      <c r="AA65" s="5"/>
      <c r="AB65" s="5"/>
      <c r="AC65" s="32"/>
      <c r="AD65" s="40">
        <f t="shared" si="6"/>
        <v>6</v>
      </c>
      <c r="AE65" s="31">
        <f t="shared" si="7"/>
        <v>4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6"/>
        <v>0</v>
      </c>
      <c r="AE66" s="31">
        <f t="shared" si="7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6"/>
        <v>0</v>
      </c>
      <c r="AE67" s="31">
        <f t="shared" si="7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6"/>
        <v>0</v>
      </c>
      <c r="AE68" s="31">
        <f t="shared" si="7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6"/>
        <v>0</v>
      </c>
      <c r="AE69" s="31">
        <f t="shared" si="7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6"/>
        <v>0</v>
      </c>
      <c r="AE70" s="31">
        <f t="shared" si="7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6"/>
        <v>0</v>
      </c>
      <c r="AE71" s="31">
        <f t="shared" si="7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6"/>
        <v>0</v>
      </c>
      <c r="AE72" s="31">
        <f t="shared" si="7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6"/>
        <v>0</v>
      </c>
      <c r="AE73" s="31">
        <f t="shared" si="7"/>
        <v>0</v>
      </c>
    </row>
    <row r="74" spans="1:31" ht="15" thickTop="1">
      <c r="A74" s="63">
        <v>22</v>
      </c>
      <c r="C74" s="2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32"/>
      <c r="AD74" s="40">
        <f t="shared" si="6"/>
        <v>0</v>
      </c>
      <c r="AE74" s="31">
        <f t="shared" si="7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6"/>
        <v>0</v>
      </c>
      <c r="AE75" s="31">
        <f t="shared" si="7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8">SUM(C76:AC76)</f>
        <v>0</v>
      </c>
      <c r="AE76" s="31">
        <f t="shared" ref="AE76:AE103" si="9">SUM(J76:U76)</f>
        <v>0</v>
      </c>
    </row>
    <row r="77" spans="1:31" ht="15" thickTop="1">
      <c r="A77" s="63">
        <v>23</v>
      </c>
      <c r="C77" s="2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32"/>
      <c r="AD77" s="40">
        <f t="shared" si="8"/>
        <v>0</v>
      </c>
      <c r="AE77" s="31">
        <f t="shared" si="9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8"/>
        <v>0</v>
      </c>
      <c r="AE78" s="31">
        <f t="shared" si="9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8"/>
        <v>0</v>
      </c>
      <c r="AE79" s="31">
        <f t="shared" si="9"/>
        <v>0</v>
      </c>
    </row>
    <row r="80" spans="1:31" ht="15" thickTop="1">
      <c r="A80" s="63">
        <v>24</v>
      </c>
      <c r="C80" s="28"/>
      <c r="D80" s="5">
        <v>1</v>
      </c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>
        <v>1</v>
      </c>
      <c r="R80" s="5"/>
      <c r="S80" s="5"/>
      <c r="T80" s="5"/>
      <c r="U80" s="5"/>
      <c r="V80" s="5">
        <v>2</v>
      </c>
      <c r="W80" s="5"/>
      <c r="X80" s="5"/>
      <c r="Y80" s="5"/>
      <c r="Z80" s="5"/>
      <c r="AA80" s="5"/>
      <c r="AB80" s="5"/>
      <c r="AC80" s="32"/>
      <c r="AD80" s="40">
        <f t="shared" si="8"/>
        <v>4</v>
      </c>
      <c r="AE80" s="31">
        <f t="shared" si="9"/>
        <v>1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8"/>
        <v>0</v>
      </c>
      <c r="AE81" s="31">
        <f t="shared" si="9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8"/>
        <v>0</v>
      </c>
      <c r="AE82" s="31">
        <f t="shared" si="9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32"/>
      <c r="AD83" s="40">
        <f t="shared" si="8"/>
        <v>0</v>
      </c>
      <c r="AE83" s="31">
        <f t="shared" si="9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8"/>
        <v>0</v>
      </c>
      <c r="AE84" s="31">
        <f t="shared" si="9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8"/>
        <v>0</v>
      </c>
      <c r="AE85" s="31">
        <f t="shared" si="9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8"/>
        <v>0</v>
      </c>
      <c r="AE86" s="31">
        <f t="shared" si="9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8"/>
        <v>0</v>
      </c>
      <c r="AE87" s="31">
        <f t="shared" si="9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8"/>
        <v>0</v>
      </c>
      <c r="AE88" s="31">
        <f t="shared" si="9"/>
        <v>0</v>
      </c>
    </row>
    <row r="89" spans="1:31" ht="15" thickTop="1">
      <c r="A89" s="63">
        <v>27</v>
      </c>
      <c r="C89" s="2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32"/>
      <c r="AD89" s="40">
        <f t="shared" si="8"/>
        <v>0</v>
      </c>
      <c r="AE89" s="31">
        <f t="shared" si="9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8"/>
        <v>0</v>
      </c>
      <c r="AE90" s="31">
        <f t="shared" si="9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34"/>
      <c r="AD91" s="40">
        <f t="shared" si="8"/>
        <v>0</v>
      </c>
      <c r="AE91" s="31">
        <f t="shared" si="9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32"/>
      <c r="AD92" s="40">
        <f t="shared" si="8"/>
        <v>0</v>
      </c>
      <c r="AE92" s="31">
        <f t="shared" si="9"/>
        <v>0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8"/>
        <v>0</v>
      </c>
      <c r="AE93" s="31">
        <f t="shared" si="9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8"/>
        <v>0</v>
      </c>
      <c r="AE94" s="31">
        <f t="shared" si="9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8"/>
        <v>0</v>
      </c>
      <c r="AE95" s="31">
        <f t="shared" si="9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8"/>
        <v>0</v>
      </c>
      <c r="AE96" s="31">
        <f t="shared" si="9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8"/>
        <v>0</v>
      </c>
      <c r="AE97" s="31">
        <f t="shared" si="9"/>
        <v>0</v>
      </c>
    </row>
    <row r="98" spans="1:31" ht="15" thickTop="1">
      <c r="A98" s="63">
        <v>30</v>
      </c>
      <c r="C98" s="28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32"/>
      <c r="AD98" s="40">
        <f t="shared" si="8"/>
        <v>0</v>
      </c>
      <c r="AE98" s="31">
        <f t="shared" si="9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8"/>
        <v>0</v>
      </c>
      <c r="AE99" s="31">
        <f t="shared" si="9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8"/>
        <v>0</v>
      </c>
      <c r="AE100" s="31">
        <f t="shared" si="9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8"/>
        <v>0</v>
      </c>
      <c r="AE101" s="31">
        <f t="shared" si="9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8"/>
        <v>0</v>
      </c>
      <c r="AE102" s="31">
        <f t="shared" si="9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8"/>
        <v>0</v>
      </c>
      <c r="AE103" s="31">
        <f t="shared" si="9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12" priority="1">
      <formula>OR(CELL("col")=COLUMN(),CELL("row")=ROW())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89678-3E9F-4A3E-84D4-0742EE4DFA26}">
  <sheetPr codeName="Sheet11"/>
  <dimension ref="A1:AF104"/>
  <sheetViews>
    <sheetView rightToLeft="1" zoomScale="60" zoomScaleNormal="60" workbookViewId="0">
      <pane xSplit="1" ySplit="9" topLeftCell="B10" activePane="bottomRight" state="frozen"/>
      <selection pane="topRight" activeCell="B1" sqref="B1"/>
      <selection pane="bottomLeft" activeCell="A10" sqref="A10"/>
      <selection pane="bottomRight" activeCell="A68" sqref="A68:A70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53</v>
      </c>
      <c r="B6" s="5" t="s">
        <v>41</v>
      </c>
      <c r="C6" s="38">
        <f>SUM(C11,C14,C17,C20,C23,C26,C29,C32,C35,C38,C41,C44,C47,C50,C53,C56,C59,C62,C65,C68,C71,C74,C77,C80,C83,C86,C89,C92,C95,C98,C101)</f>
        <v>0</v>
      </c>
      <c r="D6" s="38">
        <f t="shared" ref="D6:AC6" si="0">SUM(D11,D14,D17,D20,D23,D26,D29,D32,D35,D38,D41,D44,D47,D50,D53,D56,D59,D62,D65,D68,D71,D74,D77,D80,D83,D86,D89,D92,D95,D98,D101)</f>
        <v>4</v>
      </c>
      <c r="E6" s="38">
        <f t="shared" si="0"/>
        <v>0</v>
      </c>
      <c r="F6" s="38">
        <f t="shared" si="0"/>
        <v>0</v>
      </c>
      <c r="G6" s="38">
        <f t="shared" si="0"/>
        <v>0</v>
      </c>
      <c r="H6" s="38">
        <f t="shared" si="0"/>
        <v>0</v>
      </c>
      <c r="I6" s="38">
        <f t="shared" si="0"/>
        <v>0</v>
      </c>
      <c r="J6" s="38">
        <f t="shared" si="0"/>
        <v>0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0</v>
      </c>
      <c r="P6" s="38">
        <f t="shared" si="0"/>
        <v>1</v>
      </c>
      <c r="Q6" s="38">
        <f t="shared" si="0"/>
        <v>0</v>
      </c>
      <c r="R6" s="38">
        <f t="shared" si="0"/>
        <v>0</v>
      </c>
      <c r="S6" s="38">
        <f t="shared" si="0"/>
        <v>0</v>
      </c>
      <c r="T6" s="38">
        <f t="shared" si="0"/>
        <v>0</v>
      </c>
      <c r="U6" s="38">
        <f t="shared" si="0"/>
        <v>0</v>
      </c>
      <c r="V6" s="38">
        <f t="shared" si="0"/>
        <v>19</v>
      </c>
      <c r="W6" s="38">
        <f t="shared" si="0"/>
        <v>0</v>
      </c>
      <c r="X6" s="38">
        <f t="shared" si="0"/>
        <v>4</v>
      </c>
      <c r="Y6" s="38">
        <f t="shared" si="0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8">
        <f t="shared" si="0"/>
        <v>0</v>
      </c>
      <c r="AD6" s="5">
        <f>SUM(C6:AC6)</f>
        <v>28</v>
      </c>
      <c r="AE6" s="5">
        <f>SUM(J6:U6)</f>
        <v>1</v>
      </c>
      <c r="AF6" s="78">
        <f>(AE6+AE7+AE8)/(AD6+AD7+AD8-Z9)*100</f>
        <v>3.3333333333333335</v>
      </c>
    </row>
    <row r="7" spans="1:32" ht="22.5" customHeight="1">
      <c r="A7" s="95"/>
      <c r="B7" s="4" t="s">
        <v>42</v>
      </c>
      <c r="C7" s="4">
        <f>SUM(C12,C15,C18,C21,C24,C27,C30,C33,C36,C39,C42,C45,C48,C51,C54,C57,C60,C63,C66,C69,C72,C75,C78,C81,C84,C87,C90,C93,C96,C99,C102)</f>
        <v>0</v>
      </c>
      <c r="D7" s="4">
        <f t="shared" ref="D7:AC8" si="1">SUM(D12,D15,D18,D21,D24,D27,D30,D33,D36,D39,D42,D45,D48,D51,D54,D57,D60,D63,D66,D69,D72,D75,D78,D81,D84,D87,D90,D93,D96,D99,D102)</f>
        <v>0</v>
      </c>
      <c r="E7" s="4">
        <f t="shared" si="1"/>
        <v>0</v>
      </c>
      <c r="F7" s="4">
        <f t="shared" si="1"/>
        <v>0</v>
      </c>
      <c r="G7" s="4">
        <f t="shared" si="1"/>
        <v>0</v>
      </c>
      <c r="H7" s="4">
        <f t="shared" si="1"/>
        <v>0</v>
      </c>
      <c r="I7" s="4">
        <f t="shared" si="1"/>
        <v>0</v>
      </c>
      <c r="J7" s="4">
        <f t="shared" si="1"/>
        <v>0</v>
      </c>
      <c r="K7" s="4">
        <f t="shared" si="1"/>
        <v>0</v>
      </c>
      <c r="L7" s="4">
        <f t="shared" si="1"/>
        <v>0</v>
      </c>
      <c r="M7" s="4">
        <f t="shared" si="1"/>
        <v>0</v>
      </c>
      <c r="N7" s="4">
        <f t="shared" si="1"/>
        <v>0</v>
      </c>
      <c r="O7" s="4">
        <f t="shared" si="1"/>
        <v>0</v>
      </c>
      <c r="P7" s="4">
        <f t="shared" si="1"/>
        <v>0</v>
      </c>
      <c r="Q7" s="4">
        <f t="shared" si="1"/>
        <v>0</v>
      </c>
      <c r="R7" s="4">
        <f t="shared" si="1"/>
        <v>0</v>
      </c>
      <c r="S7" s="4">
        <f t="shared" si="1"/>
        <v>0</v>
      </c>
      <c r="T7" s="4">
        <f t="shared" si="1"/>
        <v>0</v>
      </c>
      <c r="U7" s="4">
        <f t="shared" si="1"/>
        <v>0</v>
      </c>
      <c r="V7" s="4">
        <f t="shared" si="1"/>
        <v>0</v>
      </c>
      <c r="W7" s="4">
        <f t="shared" si="1"/>
        <v>0</v>
      </c>
      <c r="X7" s="4">
        <f t="shared" si="1"/>
        <v>0</v>
      </c>
      <c r="Y7" s="4">
        <f t="shared" si="1"/>
        <v>0</v>
      </c>
      <c r="Z7" s="51">
        <f t="shared" si="1"/>
        <v>0</v>
      </c>
      <c r="AA7" s="51">
        <f t="shared" si="1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1"/>
        <v>0</v>
      </c>
      <c r="AD7" s="4">
        <f t="shared" ref="AD7:AD8" si="2">SUM(C7:AC7)</f>
        <v>0</v>
      </c>
      <c r="AE7" s="4">
        <f t="shared" ref="AE7:AE8" si="3">SUM(J7:U7)</f>
        <v>0</v>
      </c>
      <c r="AF7" s="78"/>
    </row>
    <row r="8" spans="1:32" ht="22.5" customHeight="1" thickBot="1">
      <c r="A8" s="96"/>
      <c r="B8" s="7" t="s">
        <v>43</v>
      </c>
      <c r="C8" s="37">
        <f>SUM(C13,C16,C19,C22,C25,C28,C31,C34,C37,C40,C43,C46,C49,C52,C55,C58,C61,C64,C67,C70,C73,C76,C79,C82,C85,C88,C91,C94,C97,C100,C103)</f>
        <v>0</v>
      </c>
      <c r="D8" s="37">
        <f t="shared" ref="D8:AC8" si="4">SUM(D13,D16,D19,D22,D25,D28,D31,D34,D37,D40,D43,D46,D49,D52,D55,D58,D61,D64,D67,D70,D73,D76,D79,D82,D85,D88,D91,D94,D97,D100,D103)</f>
        <v>0</v>
      </c>
      <c r="E8" s="37">
        <f t="shared" si="4"/>
        <v>1</v>
      </c>
      <c r="F8" s="37">
        <f t="shared" si="4"/>
        <v>0</v>
      </c>
      <c r="G8" s="37">
        <f t="shared" si="4"/>
        <v>0</v>
      </c>
      <c r="H8" s="37">
        <f t="shared" si="4"/>
        <v>0</v>
      </c>
      <c r="I8" s="37">
        <f t="shared" si="4"/>
        <v>0</v>
      </c>
      <c r="J8" s="37">
        <f t="shared" si="4"/>
        <v>0</v>
      </c>
      <c r="K8" s="37">
        <f t="shared" si="4"/>
        <v>0</v>
      </c>
      <c r="L8" s="37">
        <f t="shared" si="4"/>
        <v>0</v>
      </c>
      <c r="M8" s="37">
        <f t="shared" si="4"/>
        <v>0</v>
      </c>
      <c r="N8" s="37">
        <f t="shared" si="4"/>
        <v>0</v>
      </c>
      <c r="O8" s="37">
        <f t="shared" si="4"/>
        <v>0</v>
      </c>
      <c r="P8" s="37">
        <f t="shared" si="4"/>
        <v>0</v>
      </c>
      <c r="Q8" s="37">
        <f t="shared" si="4"/>
        <v>0</v>
      </c>
      <c r="R8" s="37">
        <f t="shared" si="4"/>
        <v>0</v>
      </c>
      <c r="S8" s="37">
        <f t="shared" si="4"/>
        <v>0</v>
      </c>
      <c r="T8" s="37">
        <f t="shared" si="4"/>
        <v>0</v>
      </c>
      <c r="U8" s="37">
        <f t="shared" si="4"/>
        <v>0</v>
      </c>
      <c r="V8" s="37">
        <f t="shared" si="4"/>
        <v>1</v>
      </c>
      <c r="W8" s="37">
        <f t="shared" si="4"/>
        <v>0</v>
      </c>
      <c r="X8" s="37">
        <f t="shared" si="4"/>
        <v>0</v>
      </c>
      <c r="Y8" s="37">
        <f t="shared" si="4"/>
        <v>0</v>
      </c>
      <c r="Z8" s="52">
        <f t="shared" si="1"/>
        <v>0</v>
      </c>
      <c r="AA8" s="52">
        <f t="shared" si="1"/>
        <v>0</v>
      </c>
      <c r="AB8" s="52">
        <f>SUM(AB13,AB16,AB19,AB22,AB25,AB28,AB31,AB34,AB37,AB40,AB43,AB46,AB49,AB52,AB55,AB58,AB61,AB64,AB67,AB70,AB73,AB76,AB79,AB82,AB85,AB88,AB91,AB94,AB97,AB100,AB103)</f>
        <v>0</v>
      </c>
      <c r="AC8" s="37">
        <f t="shared" si="4"/>
        <v>0</v>
      </c>
      <c r="AD8" s="7">
        <f t="shared" si="2"/>
        <v>2</v>
      </c>
      <c r="AE8" s="7">
        <f t="shared" si="3"/>
        <v>0</v>
      </c>
      <c r="AF8" s="78"/>
    </row>
    <row r="9" spans="1:32" ht="15.5" thickTop="1" thickBot="1">
      <c r="Z9" s="83">
        <f>SUM(Z6:AB8)</f>
        <v>0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>
        <v>1</v>
      </c>
      <c r="Y11" s="5"/>
      <c r="Z11" s="5"/>
      <c r="AA11" s="5"/>
      <c r="AB11" s="5"/>
      <c r="AC11" s="32"/>
      <c r="AD11" s="40">
        <f>SUM(C11:AC11)</f>
        <v>1</v>
      </c>
      <c r="AE11" s="31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5">SUM(C12:AC12)</f>
        <v>0</v>
      </c>
      <c r="AE12" s="31">
        <f t="shared" ref="AE12:AE75" si="6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5"/>
        <v>0</v>
      </c>
      <c r="AE13" s="31">
        <f t="shared" si="6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32"/>
      <c r="AD14" s="40">
        <f t="shared" si="5"/>
        <v>0</v>
      </c>
      <c r="AE14" s="31">
        <f t="shared" si="6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5"/>
        <v>0</v>
      </c>
      <c r="AE15" s="31">
        <f t="shared" si="6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5"/>
        <v>0</v>
      </c>
      <c r="AE16" s="31">
        <f t="shared" si="6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32"/>
      <c r="AD17" s="40">
        <f t="shared" si="5"/>
        <v>0</v>
      </c>
      <c r="AE17" s="31">
        <f t="shared" si="6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5"/>
        <v>0</v>
      </c>
      <c r="AE18" s="31">
        <f t="shared" si="6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5"/>
        <v>0</v>
      </c>
      <c r="AE19" s="31">
        <f t="shared" si="6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32"/>
      <c r="AD20" s="40">
        <f t="shared" si="5"/>
        <v>0</v>
      </c>
      <c r="AE20" s="31">
        <f t="shared" si="6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5"/>
        <v>0</v>
      </c>
      <c r="AE21" s="31">
        <f t="shared" si="6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5"/>
        <v>0</v>
      </c>
      <c r="AE22" s="31">
        <f t="shared" si="6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5"/>
        <v>0</v>
      </c>
      <c r="AE23" s="31">
        <f t="shared" si="6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5"/>
        <v>0</v>
      </c>
      <c r="AE24" s="31">
        <f t="shared" si="6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5"/>
        <v>0</v>
      </c>
      <c r="AE25" s="31">
        <f t="shared" si="6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5"/>
        <v>0</v>
      </c>
      <c r="AE26" s="31">
        <f t="shared" si="6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5"/>
        <v>0</v>
      </c>
      <c r="AE27" s="31">
        <f t="shared" si="6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5"/>
        <v>0</v>
      </c>
      <c r="AE28" s="31">
        <f t="shared" si="6"/>
        <v>0</v>
      </c>
    </row>
    <row r="29" spans="1:31" ht="15" thickTop="1">
      <c r="A29" s="63">
        <v>7</v>
      </c>
      <c r="C29" s="28"/>
      <c r="D29" s="5">
        <v>1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>
        <v>6</v>
      </c>
      <c r="W29" s="5"/>
      <c r="X29" s="5">
        <v>1</v>
      </c>
      <c r="Y29" s="5"/>
      <c r="Z29" s="5"/>
      <c r="AA29" s="5"/>
      <c r="AB29" s="5"/>
      <c r="AC29" s="32"/>
      <c r="AD29" s="40">
        <f t="shared" si="5"/>
        <v>8</v>
      </c>
      <c r="AE29" s="31">
        <f t="shared" si="6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5"/>
        <v>0</v>
      </c>
      <c r="AE30" s="31">
        <f t="shared" si="6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5"/>
        <v>0</v>
      </c>
      <c r="AE31" s="31">
        <f t="shared" si="6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32"/>
      <c r="AD32" s="40">
        <f t="shared" si="5"/>
        <v>0</v>
      </c>
      <c r="AE32" s="31">
        <f t="shared" si="6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5"/>
        <v>0</v>
      </c>
      <c r="AE33" s="31">
        <f t="shared" si="6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5"/>
        <v>0</v>
      </c>
      <c r="AE34" s="31">
        <f t="shared" si="6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2"/>
      <c r="AD35" s="40">
        <f t="shared" si="5"/>
        <v>0</v>
      </c>
      <c r="AE35" s="31">
        <f t="shared" si="6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5"/>
        <v>0</v>
      </c>
      <c r="AE36" s="31">
        <f t="shared" si="6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5"/>
        <v>0</v>
      </c>
      <c r="AE37" s="31">
        <f t="shared" si="6"/>
        <v>0</v>
      </c>
    </row>
    <row r="38" spans="1:31" ht="15" thickTop="1">
      <c r="A38" s="63">
        <v>10</v>
      </c>
      <c r="C38" s="28"/>
      <c r="D38" s="5">
        <v>1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>
        <v>2</v>
      </c>
      <c r="W38" s="5"/>
      <c r="X38" s="5"/>
      <c r="Y38" s="5"/>
      <c r="Z38" s="5"/>
      <c r="AA38" s="5"/>
      <c r="AB38" s="5"/>
      <c r="AC38" s="32"/>
      <c r="AD38" s="40">
        <f t="shared" si="5"/>
        <v>3</v>
      </c>
      <c r="AE38" s="31">
        <f t="shared" si="6"/>
        <v>0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5"/>
        <v>0</v>
      </c>
      <c r="AE39" s="31">
        <f t="shared" si="6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5"/>
        <v>0</v>
      </c>
      <c r="AE40" s="31">
        <f t="shared" si="6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32"/>
      <c r="AD41" s="40">
        <f t="shared" si="5"/>
        <v>0</v>
      </c>
      <c r="AE41" s="31">
        <f t="shared" si="6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5"/>
        <v>0</v>
      </c>
      <c r="AE42" s="31">
        <f t="shared" si="6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5"/>
        <v>0</v>
      </c>
      <c r="AE43" s="31">
        <f t="shared" si="6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>
        <v>2</v>
      </c>
      <c r="W44" s="5"/>
      <c r="X44" s="5"/>
      <c r="Y44" s="5"/>
      <c r="Z44" s="5"/>
      <c r="AA44" s="5"/>
      <c r="AB44" s="5"/>
      <c r="AC44" s="32"/>
      <c r="AD44" s="40">
        <f t="shared" si="5"/>
        <v>2</v>
      </c>
      <c r="AE44" s="31">
        <f t="shared" si="6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5"/>
        <v>0</v>
      </c>
      <c r="AE45" s="31">
        <f t="shared" si="6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5"/>
        <v>0</v>
      </c>
      <c r="AE46" s="31">
        <f t="shared" si="6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5"/>
        <v>0</v>
      </c>
      <c r="AE47" s="31">
        <f t="shared" si="6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5"/>
        <v>0</v>
      </c>
      <c r="AE48" s="31">
        <f t="shared" si="6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5"/>
        <v>0</v>
      </c>
      <c r="AE49" s="31">
        <f t="shared" si="6"/>
        <v>0</v>
      </c>
    </row>
    <row r="50" spans="1:31" ht="15" thickTop="1">
      <c r="A50" s="63">
        <v>14</v>
      </c>
      <c r="C50" s="5"/>
      <c r="D50" s="5">
        <v>1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>
        <v>1</v>
      </c>
      <c r="Q50" s="5"/>
      <c r="R50" s="5"/>
      <c r="S50" s="5"/>
      <c r="T50" s="5"/>
      <c r="U50" s="5"/>
      <c r="V50" s="5">
        <v>1</v>
      </c>
      <c r="W50" s="5"/>
      <c r="X50" s="5"/>
      <c r="Y50" s="5"/>
      <c r="Z50" s="5"/>
      <c r="AA50" s="5"/>
      <c r="AB50" s="5"/>
      <c r="AC50" s="32"/>
      <c r="AD50" s="40">
        <f t="shared" si="5"/>
        <v>3</v>
      </c>
      <c r="AE50" s="31">
        <f t="shared" si="6"/>
        <v>1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5"/>
        <v>0</v>
      </c>
      <c r="AE51" s="31">
        <f t="shared" si="6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5"/>
        <v>0</v>
      </c>
      <c r="AE52" s="31">
        <f t="shared" si="6"/>
        <v>0</v>
      </c>
    </row>
    <row r="53" spans="1:31" ht="15" thickTop="1">
      <c r="A53" s="63">
        <v>15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>
        <v>1</v>
      </c>
      <c r="W53" s="5"/>
      <c r="X53" s="5">
        <v>1</v>
      </c>
      <c r="Y53" s="5"/>
      <c r="Z53" s="5"/>
      <c r="AA53" s="5"/>
      <c r="AB53" s="5"/>
      <c r="AC53" s="32"/>
      <c r="AD53" s="40">
        <f t="shared" si="5"/>
        <v>2</v>
      </c>
      <c r="AE53" s="31">
        <f t="shared" si="6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5"/>
        <v>0</v>
      </c>
      <c r="AE54" s="31">
        <f t="shared" si="6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5"/>
        <v>0</v>
      </c>
      <c r="AE55" s="31">
        <f t="shared" si="6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32"/>
      <c r="AD56" s="40">
        <f t="shared" si="5"/>
        <v>0</v>
      </c>
      <c r="AE56" s="31">
        <f t="shared" si="6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5"/>
        <v>0</v>
      </c>
      <c r="AE57" s="31">
        <f t="shared" si="6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5"/>
        <v>0</v>
      </c>
      <c r="AE58" s="31">
        <f t="shared" si="6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32"/>
      <c r="AD59" s="40">
        <f t="shared" si="5"/>
        <v>0</v>
      </c>
      <c r="AE59" s="31">
        <f t="shared" si="6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5"/>
        <v>0</v>
      </c>
      <c r="AE60" s="31">
        <f t="shared" si="6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5"/>
        <v>0</v>
      </c>
      <c r="AE61" s="31">
        <f t="shared" si="6"/>
        <v>0</v>
      </c>
    </row>
    <row r="62" spans="1:31" ht="15" thickTop="1">
      <c r="A62" s="63">
        <v>18</v>
      </c>
      <c r="C62" s="2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>
        <v>1</v>
      </c>
      <c r="W62" s="5"/>
      <c r="X62" s="5"/>
      <c r="Y62" s="5"/>
      <c r="Z62" s="5"/>
      <c r="AA62" s="5"/>
      <c r="AB62" s="5"/>
      <c r="AC62" s="32"/>
      <c r="AD62" s="40">
        <f t="shared" si="5"/>
        <v>1</v>
      </c>
      <c r="AE62" s="31">
        <f t="shared" si="6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5"/>
        <v>0</v>
      </c>
      <c r="AE63" s="31">
        <f t="shared" si="6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5"/>
        <v>0</v>
      </c>
      <c r="AE64" s="31">
        <f t="shared" si="6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5"/>
        <v>0</v>
      </c>
      <c r="AE65" s="31">
        <f t="shared" si="6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5"/>
        <v>0</v>
      </c>
      <c r="AE66" s="31">
        <f t="shared" si="6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5"/>
        <v>0</v>
      </c>
      <c r="AE67" s="31">
        <f t="shared" si="6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5"/>
        <v>0</v>
      </c>
      <c r="AE68" s="31">
        <f t="shared" si="6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5"/>
        <v>0</v>
      </c>
      <c r="AE69" s="31">
        <f t="shared" si="6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5"/>
        <v>0</v>
      </c>
      <c r="AE70" s="31">
        <f t="shared" si="6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5"/>
        <v>0</v>
      </c>
      <c r="AE71" s="31">
        <f t="shared" si="6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5"/>
        <v>0</v>
      </c>
      <c r="AE72" s="31">
        <f t="shared" si="6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5"/>
        <v>0</v>
      </c>
      <c r="AE73" s="31">
        <f t="shared" si="6"/>
        <v>0</v>
      </c>
    </row>
    <row r="74" spans="1:31" ht="15" thickTop="1">
      <c r="A74" s="63">
        <v>22</v>
      </c>
      <c r="C74" s="2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>
        <v>3</v>
      </c>
      <c r="W74" s="5"/>
      <c r="X74" s="5"/>
      <c r="Y74" s="5"/>
      <c r="Z74" s="5"/>
      <c r="AA74" s="5"/>
      <c r="AB74" s="5"/>
      <c r="AC74" s="32"/>
      <c r="AD74" s="40">
        <f t="shared" si="5"/>
        <v>3</v>
      </c>
      <c r="AE74" s="31">
        <f t="shared" si="6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5"/>
        <v>0</v>
      </c>
      <c r="AE75" s="31">
        <f t="shared" si="6"/>
        <v>0</v>
      </c>
    </row>
    <row r="76" spans="1:31" ht="15" thickBot="1">
      <c r="A76" s="63"/>
      <c r="C76" s="30"/>
      <c r="D76" s="7"/>
      <c r="E76" s="7">
        <v>1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7">SUM(C76:AC76)</f>
        <v>1</v>
      </c>
      <c r="AE76" s="31">
        <f t="shared" ref="AE76:AE103" si="8">SUM(J76:U76)</f>
        <v>0</v>
      </c>
    </row>
    <row r="77" spans="1:31" ht="15" thickTop="1">
      <c r="A77" s="63">
        <v>23</v>
      </c>
      <c r="C77" s="2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32"/>
      <c r="AD77" s="40">
        <f t="shared" si="7"/>
        <v>0</v>
      </c>
      <c r="AE77" s="31">
        <f t="shared" si="8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7"/>
        <v>0</v>
      </c>
      <c r="AE78" s="31">
        <f t="shared" si="8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7"/>
        <v>0</v>
      </c>
      <c r="AE79" s="31">
        <f t="shared" si="8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32"/>
      <c r="AD80" s="40">
        <f t="shared" si="7"/>
        <v>0</v>
      </c>
      <c r="AE80" s="31">
        <f t="shared" si="8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7"/>
        <v>0</v>
      </c>
      <c r="AE81" s="31">
        <f t="shared" si="8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7"/>
        <v>0</v>
      </c>
      <c r="AE82" s="31">
        <f t="shared" si="8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32"/>
      <c r="AD83" s="40">
        <f t="shared" si="7"/>
        <v>0</v>
      </c>
      <c r="AE83" s="31">
        <f t="shared" si="8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7"/>
        <v>0</v>
      </c>
      <c r="AE84" s="31">
        <f t="shared" si="8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7"/>
        <v>0</v>
      </c>
      <c r="AE85" s="31">
        <f t="shared" si="8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7"/>
        <v>0</v>
      </c>
      <c r="AE86" s="31">
        <f t="shared" si="8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7"/>
        <v>0</v>
      </c>
      <c r="AE87" s="31">
        <f t="shared" si="8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7"/>
        <v>0</v>
      </c>
      <c r="AE88" s="31">
        <f t="shared" si="8"/>
        <v>0</v>
      </c>
    </row>
    <row r="89" spans="1:31" ht="15" thickTop="1">
      <c r="A89" s="63">
        <v>27</v>
      </c>
      <c r="C89" s="28"/>
      <c r="D89" s="5">
        <v>1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>
        <v>3</v>
      </c>
      <c r="W89" s="5"/>
      <c r="X89" s="5">
        <v>1</v>
      </c>
      <c r="Y89" s="5"/>
      <c r="Z89" s="5"/>
      <c r="AA89" s="5"/>
      <c r="AB89" s="5"/>
      <c r="AC89" s="32"/>
      <c r="AD89" s="40">
        <f t="shared" si="7"/>
        <v>5</v>
      </c>
      <c r="AE89" s="31">
        <f t="shared" si="8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7"/>
        <v>0</v>
      </c>
      <c r="AE90" s="31">
        <f t="shared" si="8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>
        <v>1</v>
      </c>
      <c r="W91" s="7"/>
      <c r="X91" s="7"/>
      <c r="Y91" s="7"/>
      <c r="Z91" s="7"/>
      <c r="AA91" s="7"/>
      <c r="AB91" s="7"/>
      <c r="AC91" s="34"/>
      <c r="AD91" s="40">
        <f t="shared" si="7"/>
        <v>1</v>
      </c>
      <c r="AE91" s="31">
        <f t="shared" si="8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32"/>
      <c r="AD92" s="40">
        <f t="shared" si="7"/>
        <v>0</v>
      </c>
      <c r="AE92" s="31">
        <f t="shared" si="8"/>
        <v>0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7"/>
        <v>0</v>
      </c>
      <c r="AE93" s="31">
        <f t="shared" si="8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7"/>
        <v>0</v>
      </c>
      <c r="AE94" s="31">
        <f t="shared" si="8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7"/>
        <v>0</v>
      </c>
      <c r="AE95" s="31">
        <f t="shared" si="8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7"/>
        <v>0</v>
      </c>
      <c r="AE96" s="31">
        <f t="shared" si="8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7"/>
        <v>0</v>
      </c>
      <c r="AE97" s="31">
        <f t="shared" si="8"/>
        <v>0</v>
      </c>
    </row>
    <row r="98" spans="1:31" ht="15" thickTop="1">
      <c r="A98" s="63">
        <v>30</v>
      </c>
      <c r="C98" s="28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32"/>
      <c r="AD98" s="40">
        <f t="shared" si="7"/>
        <v>0</v>
      </c>
      <c r="AE98" s="31">
        <f t="shared" si="8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7"/>
        <v>0</v>
      </c>
      <c r="AE99" s="31">
        <f t="shared" si="8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7"/>
        <v>0</v>
      </c>
      <c r="AE100" s="31">
        <f t="shared" si="8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7"/>
        <v>0</v>
      </c>
      <c r="AE101" s="31">
        <f t="shared" si="8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7"/>
        <v>0</v>
      </c>
      <c r="AE102" s="31">
        <f t="shared" si="8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7"/>
        <v>0</v>
      </c>
      <c r="AE103" s="31">
        <f t="shared" si="8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11" priority="1">
      <formula>OR(CELL("col")=COLUMN(),CELL("row")=ROW())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11DC-2AD3-41B6-AD38-04C0FE6372DB}">
  <sheetPr codeName="Sheet13"/>
  <dimension ref="A1:AF104"/>
  <sheetViews>
    <sheetView rightToLeft="1" zoomScale="60" zoomScaleNormal="60" workbookViewId="0">
      <pane xSplit="1" ySplit="10" topLeftCell="B80" activePane="bottomRight" state="frozen"/>
      <selection pane="topRight" activeCell="B1" sqref="B1"/>
      <selection pane="bottomLeft" activeCell="A11" sqref="A11"/>
      <selection pane="bottomRight" activeCell="X84" sqref="X84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55</v>
      </c>
      <c r="B6" s="5" t="s">
        <v>41</v>
      </c>
      <c r="C6" s="38">
        <f>SUM(C11,C14,C17,C20,C23,C26,C29,C32,C35,C38,C41,C44,C47,C50,C53,C56,C59,C62,C65,C68,C71,C74,C77,C80,C83,C86,C89,C92,C95,C98,C101)</f>
        <v>0</v>
      </c>
      <c r="D6" s="38">
        <f t="shared" ref="D6:AC6" si="0">SUM(D11,D14,D17,D20,D23,D26,D29,D32,D35,D38,D41,D44,D47,D50,D53,D56,D59,D62,D65,D68,D71,D74,D77,D80,D83,D86,D89,D92,D95,D98,D101)</f>
        <v>7</v>
      </c>
      <c r="E6" s="38">
        <f t="shared" si="0"/>
        <v>0</v>
      </c>
      <c r="F6" s="38">
        <f t="shared" si="0"/>
        <v>0</v>
      </c>
      <c r="G6" s="38">
        <f t="shared" si="0"/>
        <v>0</v>
      </c>
      <c r="H6" s="38">
        <f t="shared" si="0"/>
        <v>0</v>
      </c>
      <c r="I6" s="38">
        <f t="shared" si="0"/>
        <v>0</v>
      </c>
      <c r="J6" s="38">
        <f t="shared" si="0"/>
        <v>0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0</v>
      </c>
      <c r="P6" s="38">
        <f t="shared" si="0"/>
        <v>0</v>
      </c>
      <c r="Q6" s="38">
        <f t="shared" si="0"/>
        <v>0</v>
      </c>
      <c r="R6" s="38">
        <f t="shared" si="0"/>
        <v>0</v>
      </c>
      <c r="S6" s="38">
        <f t="shared" si="0"/>
        <v>0</v>
      </c>
      <c r="T6" s="38">
        <f t="shared" si="0"/>
        <v>0</v>
      </c>
      <c r="U6" s="38">
        <f t="shared" si="0"/>
        <v>0</v>
      </c>
      <c r="V6" s="38">
        <f t="shared" si="0"/>
        <v>19</v>
      </c>
      <c r="W6" s="38">
        <f t="shared" si="0"/>
        <v>0</v>
      </c>
      <c r="X6" s="38">
        <f t="shared" si="0"/>
        <v>5</v>
      </c>
      <c r="Y6" s="38">
        <f t="shared" si="0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8">
        <f t="shared" si="0"/>
        <v>0</v>
      </c>
      <c r="AD6" s="5">
        <f>SUM(C6:AC6)</f>
        <v>31</v>
      </c>
      <c r="AE6" s="5">
        <f>SUM(J6:U6)</f>
        <v>0</v>
      </c>
      <c r="AF6" s="78">
        <f>(AE6+AE7+AE8)/(AD6+AD7+AD8-Z9)*100</f>
        <v>0</v>
      </c>
    </row>
    <row r="7" spans="1:32" ht="22.5" customHeight="1">
      <c r="A7" s="95"/>
      <c r="B7" s="4" t="s">
        <v>42</v>
      </c>
      <c r="C7" s="4">
        <f>SUM(C12,C15,C18,C21,C24,C27,C30,C33,C36,C39,C42,C45,C48,C51,C54,C57,C60,C63,C66,C69,C72,C75,C78,C81,C84,C87,C90,C93,C96,C99,C102)</f>
        <v>0</v>
      </c>
      <c r="D7" s="4">
        <f t="shared" ref="D7:AC8" si="1">SUM(D12,D15,D18,D21,D24,D27,D30,D33,D36,D39,D42,D45,D48,D51,D54,D57,D60,D63,D66,D69,D72,D75,D78,D81,D84,D87,D90,D93,D96,D99,D102)</f>
        <v>0</v>
      </c>
      <c r="E7" s="4">
        <f t="shared" si="1"/>
        <v>0</v>
      </c>
      <c r="F7" s="4">
        <f t="shared" si="1"/>
        <v>0</v>
      </c>
      <c r="G7" s="4">
        <f t="shared" si="1"/>
        <v>0</v>
      </c>
      <c r="H7" s="4">
        <f t="shared" si="1"/>
        <v>0</v>
      </c>
      <c r="I7" s="4">
        <f t="shared" si="1"/>
        <v>0</v>
      </c>
      <c r="J7" s="4">
        <f t="shared" si="1"/>
        <v>0</v>
      </c>
      <c r="K7" s="4">
        <f t="shared" si="1"/>
        <v>0</v>
      </c>
      <c r="L7" s="4">
        <f t="shared" si="1"/>
        <v>0</v>
      </c>
      <c r="M7" s="4">
        <f t="shared" si="1"/>
        <v>0</v>
      </c>
      <c r="N7" s="4">
        <f t="shared" si="1"/>
        <v>0</v>
      </c>
      <c r="O7" s="4">
        <f t="shared" si="1"/>
        <v>0</v>
      </c>
      <c r="P7" s="4">
        <f t="shared" si="1"/>
        <v>0</v>
      </c>
      <c r="Q7" s="4">
        <f t="shared" si="1"/>
        <v>0</v>
      </c>
      <c r="R7" s="4">
        <f t="shared" si="1"/>
        <v>0</v>
      </c>
      <c r="S7" s="4">
        <f t="shared" si="1"/>
        <v>0</v>
      </c>
      <c r="T7" s="4">
        <f t="shared" si="1"/>
        <v>0</v>
      </c>
      <c r="U7" s="4">
        <f t="shared" si="1"/>
        <v>0</v>
      </c>
      <c r="V7" s="4">
        <f t="shared" si="1"/>
        <v>0</v>
      </c>
      <c r="W7" s="4">
        <f t="shared" si="1"/>
        <v>0</v>
      </c>
      <c r="X7" s="4">
        <f t="shared" si="1"/>
        <v>0</v>
      </c>
      <c r="Y7" s="4">
        <f t="shared" si="1"/>
        <v>0</v>
      </c>
      <c r="Z7" s="51">
        <f t="shared" si="1"/>
        <v>0</v>
      </c>
      <c r="AA7" s="51">
        <f t="shared" si="1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1"/>
        <v>0</v>
      </c>
      <c r="AD7" s="4">
        <f t="shared" ref="AD7:AD8" si="2">SUM(C7:AC7)</f>
        <v>0</v>
      </c>
      <c r="AE7" s="4">
        <f t="shared" ref="AE7:AE8" si="3">SUM(J7:U7)</f>
        <v>0</v>
      </c>
      <c r="AF7" s="78"/>
    </row>
    <row r="8" spans="1:32" ht="22.5" customHeight="1" thickBot="1">
      <c r="A8" s="96"/>
      <c r="B8" s="7" t="s">
        <v>43</v>
      </c>
      <c r="C8" s="37">
        <f>SUM(C13,C16,C19,C22,C25,C28,C31,C34,C37,C40,C43,C46,C49,C52,C55,C58,C61,C64,C67,C70,C73,C76,C79,C82,C85,C88,C91,C94,C97,C100,C103)</f>
        <v>0</v>
      </c>
      <c r="D8" s="37">
        <f t="shared" ref="D8:AC8" si="4">SUM(D13,D16,D19,D22,D25,D28,D31,D34,D37,D40,D43,D46,D49,D52,D55,D58,D61,D64,D67,D70,D73,D76,D79,D82,D85,D88,D91,D94,D97,D100,D103)</f>
        <v>0</v>
      </c>
      <c r="E8" s="37">
        <f t="shared" si="4"/>
        <v>0</v>
      </c>
      <c r="F8" s="37">
        <f t="shared" si="4"/>
        <v>0</v>
      </c>
      <c r="G8" s="37">
        <f t="shared" si="4"/>
        <v>0</v>
      </c>
      <c r="H8" s="37">
        <f t="shared" si="4"/>
        <v>0</v>
      </c>
      <c r="I8" s="37">
        <f t="shared" si="4"/>
        <v>0</v>
      </c>
      <c r="J8" s="37">
        <f t="shared" si="4"/>
        <v>0</v>
      </c>
      <c r="K8" s="37">
        <f t="shared" si="4"/>
        <v>0</v>
      </c>
      <c r="L8" s="37">
        <f t="shared" si="4"/>
        <v>0</v>
      </c>
      <c r="M8" s="37">
        <f t="shared" si="4"/>
        <v>0</v>
      </c>
      <c r="N8" s="37">
        <f t="shared" si="4"/>
        <v>0</v>
      </c>
      <c r="O8" s="37">
        <f t="shared" si="4"/>
        <v>0</v>
      </c>
      <c r="P8" s="37">
        <f t="shared" si="4"/>
        <v>0</v>
      </c>
      <c r="Q8" s="37">
        <f t="shared" si="4"/>
        <v>0</v>
      </c>
      <c r="R8" s="37">
        <f t="shared" si="4"/>
        <v>0</v>
      </c>
      <c r="S8" s="37">
        <f t="shared" si="4"/>
        <v>0</v>
      </c>
      <c r="T8" s="37">
        <f t="shared" si="4"/>
        <v>0</v>
      </c>
      <c r="U8" s="37">
        <f t="shared" si="4"/>
        <v>0</v>
      </c>
      <c r="V8" s="37">
        <f t="shared" si="4"/>
        <v>0</v>
      </c>
      <c r="W8" s="37">
        <f t="shared" si="4"/>
        <v>0</v>
      </c>
      <c r="X8" s="37">
        <f t="shared" si="4"/>
        <v>0</v>
      </c>
      <c r="Y8" s="37">
        <f t="shared" si="4"/>
        <v>0</v>
      </c>
      <c r="Z8" s="52">
        <f t="shared" si="1"/>
        <v>0</v>
      </c>
      <c r="AA8" s="52">
        <f t="shared" si="1"/>
        <v>0</v>
      </c>
      <c r="AB8" s="52">
        <f>SUM(AB13,AB16,AB19,AB22,AB25,AB28,AB31,AB34,AB37,AB40,AB43,AB46,AB49,AB52,AB55,AB58,AB61,AB64,AB67,AB70,AB73,AB76,AB79,AB82,AB85,AB88,AB91,AB94,AB97,AB100,AB103)</f>
        <v>0</v>
      </c>
      <c r="AC8" s="37">
        <f t="shared" si="4"/>
        <v>0</v>
      </c>
      <c r="AD8" s="7">
        <f t="shared" si="2"/>
        <v>0</v>
      </c>
      <c r="AE8" s="7">
        <f t="shared" si="3"/>
        <v>0</v>
      </c>
      <c r="AF8" s="78"/>
    </row>
    <row r="9" spans="1:32" ht="15.5" thickTop="1" thickBot="1">
      <c r="Z9" s="83">
        <f>SUM(Z6:AB8)</f>
        <v>0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32"/>
      <c r="AD11" s="40">
        <f>SUM(C11:AC11)</f>
        <v>0</v>
      </c>
      <c r="AE11" s="31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5">SUM(C12:AC12)</f>
        <v>0</v>
      </c>
      <c r="AE12" s="31">
        <f t="shared" ref="AE12:AE75" si="6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5"/>
        <v>0</v>
      </c>
      <c r="AE13" s="31">
        <f t="shared" si="6"/>
        <v>0</v>
      </c>
    </row>
    <row r="14" spans="1:32" ht="15" thickTop="1">
      <c r="A14" s="63">
        <v>2</v>
      </c>
      <c r="B14" s="31"/>
      <c r="C14" s="28"/>
      <c r="D14" s="5">
        <v>3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>
        <v>1</v>
      </c>
      <c r="W14" s="5"/>
      <c r="X14" s="5"/>
      <c r="Y14" s="5"/>
      <c r="Z14" s="5"/>
      <c r="AA14" s="5"/>
      <c r="AB14" s="5"/>
      <c r="AC14" s="32"/>
      <c r="AD14" s="40">
        <f t="shared" si="5"/>
        <v>4</v>
      </c>
      <c r="AE14" s="31">
        <f t="shared" si="6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5"/>
        <v>0</v>
      </c>
      <c r="AE15" s="31">
        <f t="shared" si="6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5"/>
        <v>0</v>
      </c>
      <c r="AE16" s="31">
        <f t="shared" si="6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32"/>
      <c r="AD17" s="40">
        <f t="shared" si="5"/>
        <v>0</v>
      </c>
      <c r="AE17" s="31">
        <f t="shared" si="6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5"/>
        <v>0</v>
      </c>
      <c r="AE18" s="31">
        <f t="shared" si="6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5"/>
        <v>0</v>
      </c>
      <c r="AE19" s="31">
        <f t="shared" si="6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32"/>
      <c r="AD20" s="40">
        <f t="shared" si="5"/>
        <v>0</v>
      </c>
      <c r="AE20" s="31">
        <f t="shared" si="6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5"/>
        <v>0</v>
      </c>
      <c r="AE21" s="31">
        <f t="shared" si="6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5"/>
        <v>0</v>
      </c>
      <c r="AE22" s="31">
        <f t="shared" si="6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5"/>
        <v>0</v>
      </c>
      <c r="AE23" s="31">
        <f t="shared" si="6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5"/>
        <v>0</v>
      </c>
      <c r="AE24" s="31">
        <f t="shared" si="6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5"/>
        <v>0</v>
      </c>
      <c r="AE25" s="31">
        <f t="shared" si="6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5"/>
        <v>0</v>
      </c>
      <c r="AE26" s="31">
        <f t="shared" si="6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5"/>
        <v>0</v>
      </c>
      <c r="AE27" s="31">
        <f t="shared" si="6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5"/>
        <v>0</v>
      </c>
      <c r="AE28" s="31">
        <f t="shared" si="6"/>
        <v>0</v>
      </c>
    </row>
    <row r="29" spans="1:31" ht="15" thickTop="1">
      <c r="A29" s="63">
        <v>7</v>
      </c>
      <c r="C29" s="28"/>
      <c r="D29" s="5">
        <v>1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>
        <v>5</v>
      </c>
      <c r="W29" s="5"/>
      <c r="X29" s="5">
        <v>2</v>
      </c>
      <c r="Y29" s="5"/>
      <c r="Z29" s="5"/>
      <c r="AA29" s="5"/>
      <c r="AB29" s="5"/>
      <c r="AC29" s="32"/>
      <c r="AD29" s="40">
        <f t="shared" si="5"/>
        <v>8</v>
      </c>
      <c r="AE29" s="31">
        <f t="shared" si="6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5"/>
        <v>0</v>
      </c>
      <c r="AE30" s="31">
        <f t="shared" si="6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5"/>
        <v>0</v>
      </c>
      <c r="AE31" s="31">
        <f t="shared" si="6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32"/>
      <c r="AD32" s="40">
        <f t="shared" si="5"/>
        <v>0</v>
      </c>
      <c r="AE32" s="31">
        <f t="shared" si="6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5"/>
        <v>0</v>
      </c>
      <c r="AE33" s="31">
        <f t="shared" si="6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5"/>
        <v>0</v>
      </c>
      <c r="AE34" s="31">
        <f t="shared" si="6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2"/>
      <c r="AD35" s="40">
        <f t="shared" si="5"/>
        <v>0</v>
      </c>
      <c r="AE35" s="31">
        <f t="shared" si="6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5"/>
        <v>0</v>
      </c>
      <c r="AE36" s="31">
        <f t="shared" si="6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5"/>
        <v>0</v>
      </c>
      <c r="AE37" s="31">
        <f t="shared" si="6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32"/>
      <c r="AD38" s="40">
        <f t="shared" si="5"/>
        <v>0</v>
      </c>
      <c r="AE38" s="31">
        <f t="shared" si="6"/>
        <v>0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5"/>
        <v>0</v>
      </c>
      <c r="AE39" s="31">
        <f t="shared" si="6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5"/>
        <v>0</v>
      </c>
      <c r="AE40" s="31">
        <f t="shared" si="6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32"/>
      <c r="AD41" s="40">
        <f t="shared" si="5"/>
        <v>0</v>
      </c>
      <c r="AE41" s="31">
        <f t="shared" si="6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5"/>
        <v>0</v>
      </c>
      <c r="AE42" s="31">
        <f t="shared" si="6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5"/>
        <v>0</v>
      </c>
      <c r="AE43" s="31">
        <f t="shared" si="6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32"/>
      <c r="AD44" s="40">
        <f t="shared" si="5"/>
        <v>0</v>
      </c>
      <c r="AE44" s="31">
        <f t="shared" si="6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5"/>
        <v>0</v>
      </c>
      <c r="AE45" s="31">
        <f t="shared" si="6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5"/>
        <v>0</v>
      </c>
      <c r="AE46" s="31">
        <f t="shared" si="6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5"/>
        <v>0</v>
      </c>
      <c r="AE47" s="31">
        <f t="shared" si="6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5"/>
        <v>0</v>
      </c>
      <c r="AE48" s="31">
        <f t="shared" si="6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5"/>
        <v>0</v>
      </c>
      <c r="AE49" s="31">
        <f t="shared" si="6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5"/>
        <v>0</v>
      </c>
      <c r="AE50" s="31">
        <f t="shared" si="6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5"/>
        <v>0</v>
      </c>
      <c r="AE51" s="31">
        <f t="shared" si="6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5"/>
        <v>0</v>
      </c>
      <c r="AE52" s="31">
        <f t="shared" si="6"/>
        <v>0</v>
      </c>
    </row>
    <row r="53" spans="1:31" ht="15" thickTop="1">
      <c r="A53" s="63">
        <v>15</v>
      </c>
      <c r="C53" s="5"/>
      <c r="D53" s="5">
        <v>1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>
        <v>3</v>
      </c>
      <c r="W53" s="5"/>
      <c r="X53" s="5">
        <v>1</v>
      </c>
      <c r="Y53" s="5"/>
      <c r="Z53" s="5"/>
      <c r="AA53" s="5"/>
      <c r="AB53" s="5"/>
      <c r="AC53" s="32"/>
      <c r="AD53" s="40">
        <f t="shared" si="5"/>
        <v>5</v>
      </c>
      <c r="AE53" s="31">
        <f t="shared" si="6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5"/>
        <v>0</v>
      </c>
      <c r="AE54" s="31">
        <f t="shared" si="6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5"/>
        <v>0</v>
      </c>
      <c r="AE55" s="31">
        <f t="shared" si="6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32"/>
      <c r="AD56" s="40">
        <f t="shared" si="5"/>
        <v>0</v>
      </c>
      <c r="AE56" s="31">
        <f t="shared" si="6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5"/>
        <v>0</v>
      </c>
      <c r="AE57" s="31">
        <f t="shared" si="6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5"/>
        <v>0</v>
      </c>
      <c r="AE58" s="31">
        <f t="shared" si="6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32"/>
      <c r="AD59" s="40">
        <f t="shared" si="5"/>
        <v>0</v>
      </c>
      <c r="AE59" s="31">
        <f t="shared" si="6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5"/>
        <v>0</v>
      </c>
      <c r="AE60" s="31">
        <f t="shared" si="6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5"/>
        <v>0</v>
      </c>
      <c r="AE61" s="31">
        <f t="shared" si="6"/>
        <v>0</v>
      </c>
    </row>
    <row r="62" spans="1:31" ht="15" thickTop="1">
      <c r="A62" s="63">
        <v>18</v>
      </c>
      <c r="C62" s="2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5"/>
        <v>0</v>
      </c>
      <c r="AE62" s="31">
        <f t="shared" si="6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5"/>
        <v>0</v>
      </c>
      <c r="AE63" s="31">
        <f t="shared" si="6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5"/>
        <v>0</v>
      </c>
      <c r="AE64" s="31">
        <f t="shared" si="6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>
        <v>5</v>
      </c>
      <c r="W65" s="5"/>
      <c r="X65" s="5"/>
      <c r="Y65" s="5"/>
      <c r="Z65" s="5"/>
      <c r="AA65" s="5"/>
      <c r="AB65" s="5"/>
      <c r="AC65" s="32"/>
      <c r="AD65" s="40">
        <f t="shared" si="5"/>
        <v>5</v>
      </c>
      <c r="AE65" s="31">
        <f t="shared" si="6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5"/>
        <v>0</v>
      </c>
      <c r="AE66" s="31">
        <f t="shared" si="6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5"/>
        <v>0</v>
      </c>
      <c r="AE67" s="31">
        <f t="shared" si="6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5"/>
        <v>0</v>
      </c>
      <c r="AE68" s="31">
        <f t="shared" si="6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5"/>
        <v>0</v>
      </c>
      <c r="AE69" s="31">
        <f t="shared" si="6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5"/>
        <v>0</v>
      </c>
      <c r="AE70" s="31">
        <f t="shared" si="6"/>
        <v>0</v>
      </c>
    </row>
    <row r="71" spans="1:31" ht="15" thickTop="1">
      <c r="A71" s="63">
        <v>21</v>
      </c>
      <c r="C71" s="28"/>
      <c r="D71" s="5">
        <v>1</v>
      </c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>
        <v>3</v>
      </c>
      <c r="W71" s="5"/>
      <c r="X71" s="5"/>
      <c r="Y71" s="5"/>
      <c r="Z71" s="5"/>
      <c r="AA71" s="5"/>
      <c r="AB71" s="5"/>
      <c r="AC71" s="32"/>
      <c r="AD71" s="40">
        <f t="shared" si="5"/>
        <v>4</v>
      </c>
      <c r="AE71" s="31">
        <f t="shared" si="6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5"/>
        <v>0</v>
      </c>
      <c r="AE72" s="31">
        <f t="shared" si="6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5"/>
        <v>0</v>
      </c>
      <c r="AE73" s="31">
        <f t="shared" si="6"/>
        <v>0</v>
      </c>
    </row>
    <row r="74" spans="1:31" ht="15" thickTop="1">
      <c r="A74" s="63">
        <v>22</v>
      </c>
      <c r="C74" s="2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32"/>
      <c r="AD74" s="40">
        <f t="shared" si="5"/>
        <v>0</v>
      </c>
      <c r="AE74" s="31">
        <f t="shared" si="6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5"/>
        <v>0</v>
      </c>
      <c r="AE75" s="31">
        <f t="shared" si="6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7">SUM(C76:AC76)</f>
        <v>0</v>
      </c>
      <c r="AE76" s="31">
        <f t="shared" ref="AE76:AE103" si="8">SUM(J76:U76)</f>
        <v>0</v>
      </c>
    </row>
    <row r="77" spans="1:31" ht="15" thickTop="1">
      <c r="A77" s="63">
        <v>23</v>
      </c>
      <c r="C77" s="2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32"/>
      <c r="AD77" s="40">
        <f t="shared" si="7"/>
        <v>0</v>
      </c>
      <c r="AE77" s="31">
        <f t="shared" si="8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7"/>
        <v>0</v>
      </c>
      <c r="AE78" s="31">
        <f t="shared" si="8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7"/>
        <v>0</v>
      </c>
      <c r="AE79" s="31">
        <f t="shared" si="8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32"/>
      <c r="AD80" s="40">
        <f t="shared" si="7"/>
        <v>0</v>
      </c>
      <c r="AE80" s="31">
        <f t="shared" si="8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7"/>
        <v>0</v>
      </c>
      <c r="AE81" s="31">
        <f t="shared" si="8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7"/>
        <v>0</v>
      </c>
      <c r="AE82" s="31">
        <f t="shared" si="8"/>
        <v>0</v>
      </c>
    </row>
    <row r="83" spans="1:31" ht="15" thickTop="1">
      <c r="A83" s="63">
        <v>25</v>
      </c>
      <c r="C83" s="28"/>
      <c r="D83" s="5">
        <v>1</v>
      </c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>
        <v>2</v>
      </c>
      <c r="W83" s="5"/>
      <c r="X83" s="5">
        <v>2</v>
      </c>
      <c r="Y83" s="5"/>
      <c r="Z83" s="5"/>
      <c r="AA83" s="5"/>
      <c r="AB83" s="5"/>
      <c r="AC83" s="32"/>
      <c r="AD83" s="40">
        <f t="shared" si="7"/>
        <v>5</v>
      </c>
      <c r="AE83" s="31">
        <f t="shared" si="8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7"/>
        <v>0</v>
      </c>
      <c r="AE84" s="31">
        <f t="shared" si="8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7"/>
        <v>0</v>
      </c>
      <c r="AE85" s="31">
        <f t="shared" si="8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7"/>
        <v>0</v>
      </c>
      <c r="AE86" s="31">
        <f t="shared" si="8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7"/>
        <v>0</v>
      </c>
      <c r="AE87" s="31">
        <f t="shared" si="8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7"/>
        <v>0</v>
      </c>
      <c r="AE88" s="31">
        <f t="shared" si="8"/>
        <v>0</v>
      </c>
    </row>
    <row r="89" spans="1:31" ht="15" thickTop="1">
      <c r="A89" s="63">
        <v>27</v>
      </c>
      <c r="C89" s="2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32"/>
      <c r="AD89" s="40">
        <f t="shared" si="7"/>
        <v>0</v>
      </c>
      <c r="AE89" s="31">
        <f t="shared" si="8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7"/>
        <v>0</v>
      </c>
      <c r="AE90" s="31">
        <f t="shared" si="8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34"/>
      <c r="AD91" s="40">
        <f t="shared" si="7"/>
        <v>0</v>
      </c>
      <c r="AE91" s="31">
        <f t="shared" si="8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32"/>
      <c r="AD92" s="40">
        <f t="shared" si="7"/>
        <v>0</v>
      </c>
      <c r="AE92" s="31">
        <f t="shared" si="8"/>
        <v>0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7"/>
        <v>0</v>
      </c>
      <c r="AE93" s="31">
        <f t="shared" si="8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7"/>
        <v>0</v>
      </c>
      <c r="AE94" s="31">
        <f t="shared" si="8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7"/>
        <v>0</v>
      </c>
      <c r="AE95" s="31">
        <f t="shared" si="8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7"/>
        <v>0</v>
      </c>
      <c r="AE96" s="31">
        <f t="shared" si="8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7"/>
        <v>0</v>
      </c>
      <c r="AE97" s="31">
        <f t="shared" si="8"/>
        <v>0</v>
      </c>
    </row>
    <row r="98" spans="1:31" ht="15" thickTop="1">
      <c r="A98" s="63">
        <v>30</v>
      </c>
      <c r="C98" s="28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32"/>
      <c r="AD98" s="40">
        <f t="shared" si="7"/>
        <v>0</v>
      </c>
      <c r="AE98" s="31">
        <f t="shared" si="8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7"/>
        <v>0</v>
      </c>
      <c r="AE99" s="31">
        <f t="shared" si="8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7"/>
        <v>0</v>
      </c>
      <c r="AE100" s="31">
        <f t="shared" si="8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7"/>
        <v>0</v>
      </c>
      <c r="AE101" s="31">
        <f t="shared" si="8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7"/>
        <v>0</v>
      </c>
      <c r="AE102" s="31">
        <f t="shared" si="8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7"/>
        <v>0</v>
      </c>
      <c r="AE103" s="31">
        <f t="shared" si="8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10" priority="1">
      <formula>OR(CELL("col")=COLUMN(),CELL("row")=ROW())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BB9AA-F063-47F7-8CF8-F4CE9E286EC9}">
  <sheetPr codeName="Sheet14"/>
  <dimension ref="A1:AF104"/>
  <sheetViews>
    <sheetView rightToLeft="1" zoomScale="60" zoomScaleNormal="60" workbookViewId="0">
      <pane xSplit="1" ySplit="10" topLeftCell="B79" activePane="bottomRight" state="frozen"/>
      <selection pane="topRight" activeCell="B1" sqref="B1"/>
      <selection pane="bottomLeft" activeCell="A11" sqref="A11"/>
      <selection pane="bottomRight" activeCell="K82" sqref="K82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56</v>
      </c>
      <c r="B6" s="5" t="s">
        <v>41</v>
      </c>
      <c r="C6" s="38">
        <f t="shared" ref="C6:R7" si="0">SUM(C11,C14,C17,C20,C23,C26,C29,C32,C35,C38,C41,C44,C47,C50,C53,C56,C59,C62,C65,C68,C71,C74,C77,C80,C83,C86,C89,C92,C95,C98,C101)</f>
        <v>0</v>
      </c>
      <c r="D6" s="38">
        <f t="shared" si="0"/>
        <v>9</v>
      </c>
      <c r="E6" s="38">
        <f t="shared" si="0"/>
        <v>0</v>
      </c>
      <c r="F6" s="38">
        <f t="shared" si="0"/>
        <v>0</v>
      </c>
      <c r="G6" s="38">
        <f t="shared" si="0"/>
        <v>0</v>
      </c>
      <c r="H6" s="38">
        <f t="shared" si="0"/>
        <v>0</v>
      </c>
      <c r="I6" s="38">
        <f t="shared" si="0"/>
        <v>0</v>
      </c>
      <c r="J6" s="38">
        <f t="shared" si="0"/>
        <v>0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0</v>
      </c>
      <c r="P6" s="38">
        <f t="shared" si="0"/>
        <v>0</v>
      </c>
      <c r="Q6" s="38">
        <f t="shared" si="0"/>
        <v>4</v>
      </c>
      <c r="R6" s="38">
        <f t="shared" si="0"/>
        <v>0</v>
      </c>
      <c r="S6" s="38">
        <f t="shared" ref="S6:AC8" si="1">SUM(S11,S14,S17,S20,S23,S26,S29,S32,S35,S38,S41,S44,S47,S50,S53,S56,S59,S62,S65,S68,S71,S74,S77,S80,S83,S86,S89,S92,S95,S98,S101)</f>
        <v>1</v>
      </c>
      <c r="T6" s="38">
        <f t="shared" si="1"/>
        <v>1</v>
      </c>
      <c r="U6" s="38">
        <f t="shared" si="1"/>
        <v>0</v>
      </c>
      <c r="V6" s="38">
        <f t="shared" si="1"/>
        <v>12</v>
      </c>
      <c r="W6" s="38">
        <f t="shared" si="1"/>
        <v>1</v>
      </c>
      <c r="X6" s="38">
        <f t="shared" si="1"/>
        <v>3</v>
      </c>
      <c r="Y6" s="38">
        <f t="shared" si="1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8">
        <f t="shared" si="1"/>
        <v>0</v>
      </c>
      <c r="AD6" s="5">
        <f>SUM(C6:AC6)</f>
        <v>31</v>
      </c>
      <c r="AE6" s="5">
        <f>SUM(J6:U6)</f>
        <v>6</v>
      </c>
      <c r="AF6" s="78">
        <f>(AE6+AE7+AE8)/(AD6+AD7+AD8-Z9)*100</f>
        <v>21.875</v>
      </c>
    </row>
    <row r="7" spans="1:32" ht="22.5" customHeight="1">
      <c r="A7" s="95"/>
      <c r="B7" s="4" t="s">
        <v>42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 t="shared" si="0"/>
        <v>0</v>
      </c>
      <c r="O7" s="4">
        <f t="shared" si="0"/>
        <v>0</v>
      </c>
      <c r="P7" s="4">
        <f t="shared" si="0"/>
        <v>0</v>
      </c>
      <c r="Q7" s="4">
        <f t="shared" si="0"/>
        <v>0</v>
      </c>
      <c r="R7" s="4">
        <f t="shared" si="0"/>
        <v>0</v>
      </c>
      <c r="S7" s="4">
        <f t="shared" si="1"/>
        <v>1</v>
      </c>
      <c r="T7" s="4">
        <f t="shared" si="1"/>
        <v>0</v>
      </c>
      <c r="U7" s="4">
        <f t="shared" si="1"/>
        <v>0</v>
      </c>
      <c r="V7" s="4">
        <f t="shared" si="1"/>
        <v>0</v>
      </c>
      <c r="W7" s="4">
        <f t="shared" si="1"/>
        <v>0</v>
      </c>
      <c r="X7" s="4">
        <f t="shared" si="1"/>
        <v>0</v>
      </c>
      <c r="Y7" s="4">
        <f t="shared" si="1"/>
        <v>0</v>
      </c>
      <c r="Z7" s="51">
        <f t="shared" si="1"/>
        <v>0</v>
      </c>
      <c r="AA7" s="51">
        <f t="shared" si="1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1"/>
        <v>0</v>
      </c>
      <c r="AD7" s="4">
        <f t="shared" ref="AD7:AD8" si="2">SUM(C7:AC7)</f>
        <v>1</v>
      </c>
      <c r="AE7" s="4">
        <f t="shared" ref="AE7:AE8" si="3">SUM(J7:U7)</f>
        <v>1</v>
      </c>
      <c r="AF7" s="78"/>
    </row>
    <row r="8" spans="1:32" ht="22.5" customHeight="1" thickBot="1">
      <c r="A8" s="96"/>
      <c r="B8" s="7" t="s">
        <v>43</v>
      </c>
      <c r="C8" s="37">
        <f>SUM(C13,C16,C19,C22,C25,C28,C31,C34,C37,C40,C43,C46,C49,C52,C55,C58,C61,C64,C67,C70,C73,C76,C79,C82,C85,C88,C91,C94,C97,C100,C103)</f>
        <v>0</v>
      </c>
      <c r="D8" s="37">
        <f t="shared" ref="D8:AC8" si="4">SUM(D13,D16,D19,D22,D25,D28,D31,D34,D37,D40,D43,D46,D49,D52,D55,D58,D61,D64,D67,D70,D73,D76,D79,D82,D85,D88,D91,D94,D97,D100,D103)</f>
        <v>0</v>
      </c>
      <c r="E8" s="37">
        <f t="shared" si="4"/>
        <v>0</v>
      </c>
      <c r="F8" s="37">
        <f t="shared" si="4"/>
        <v>0</v>
      </c>
      <c r="G8" s="37">
        <f t="shared" si="4"/>
        <v>0</v>
      </c>
      <c r="H8" s="37">
        <f t="shared" si="4"/>
        <v>0</v>
      </c>
      <c r="I8" s="37">
        <f t="shared" si="4"/>
        <v>0</v>
      </c>
      <c r="J8" s="37">
        <f t="shared" si="4"/>
        <v>0</v>
      </c>
      <c r="K8" s="37">
        <f t="shared" si="4"/>
        <v>0</v>
      </c>
      <c r="L8" s="37">
        <f t="shared" si="4"/>
        <v>0</v>
      </c>
      <c r="M8" s="37">
        <f t="shared" si="4"/>
        <v>0</v>
      </c>
      <c r="N8" s="37">
        <f t="shared" si="4"/>
        <v>0</v>
      </c>
      <c r="O8" s="37">
        <f t="shared" si="4"/>
        <v>0</v>
      </c>
      <c r="P8" s="37">
        <f t="shared" si="4"/>
        <v>0</v>
      </c>
      <c r="Q8" s="37">
        <f t="shared" si="4"/>
        <v>0</v>
      </c>
      <c r="R8" s="37">
        <f t="shared" si="4"/>
        <v>0</v>
      </c>
      <c r="S8" s="37">
        <f t="shared" si="4"/>
        <v>0</v>
      </c>
      <c r="T8" s="37">
        <f t="shared" si="4"/>
        <v>0</v>
      </c>
      <c r="U8" s="37">
        <f t="shared" si="4"/>
        <v>0</v>
      </c>
      <c r="V8" s="37">
        <f t="shared" si="4"/>
        <v>0</v>
      </c>
      <c r="W8" s="37">
        <f t="shared" si="4"/>
        <v>0</v>
      </c>
      <c r="X8" s="37">
        <f t="shared" si="4"/>
        <v>0</v>
      </c>
      <c r="Y8" s="37">
        <f t="shared" si="4"/>
        <v>0</v>
      </c>
      <c r="Z8" s="52">
        <f t="shared" si="1"/>
        <v>0</v>
      </c>
      <c r="AA8" s="52">
        <f t="shared" si="1"/>
        <v>0</v>
      </c>
      <c r="AB8" s="52">
        <f>SUM(AB13,AB16,AB19,AB22,AB25,AB28,AB31,AB34,AB37,AB40,AB43,AB46,AB49,AB52,AB55,AB58,AB61,AB64,AB67,AB70,AB73,AB76,AB79,AB82,AB85,AB88,AB91,AB94,AB97,AB100,AB103)</f>
        <v>1</v>
      </c>
      <c r="AC8" s="37">
        <f t="shared" si="4"/>
        <v>0</v>
      </c>
      <c r="AD8" s="7">
        <f t="shared" si="2"/>
        <v>1</v>
      </c>
      <c r="AE8" s="7">
        <f t="shared" si="3"/>
        <v>0</v>
      </c>
      <c r="AF8" s="78"/>
    </row>
    <row r="9" spans="1:32" ht="15.5" thickTop="1" thickBot="1">
      <c r="Z9" s="83">
        <f>SUM(Z6:AB8)</f>
        <v>1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32"/>
      <c r="AD11" s="40">
        <f>SUM(C11:AC11)</f>
        <v>0</v>
      </c>
      <c r="AE11" s="31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5">SUM(C12:AC12)</f>
        <v>0</v>
      </c>
      <c r="AE12" s="31">
        <f t="shared" ref="AE12:AE75" si="6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5"/>
        <v>0</v>
      </c>
      <c r="AE13" s="31">
        <f t="shared" si="6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32"/>
      <c r="AD14" s="40">
        <f t="shared" si="5"/>
        <v>0</v>
      </c>
      <c r="AE14" s="31">
        <f t="shared" si="6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5"/>
        <v>0</v>
      </c>
      <c r="AE15" s="31">
        <f t="shared" si="6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5"/>
        <v>0</v>
      </c>
      <c r="AE16" s="31">
        <f t="shared" si="6"/>
        <v>0</v>
      </c>
    </row>
    <row r="17" spans="1:31" ht="15" thickTop="1">
      <c r="A17" s="63">
        <v>3</v>
      </c>
      <c r="C17" s="5"/>
      <c r="D17" s="5">
        <v>4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>
        <v>1</v>
      </c>
      <c r="Y17" s="5"/>
      <c r="Z17" s="5"/>
      <c r="AA17" s="5"/>
      <c r="AB17" s="5"/>
      <c r="AC17" s="32"/>
      <c r="AD17" s="40">
        <f t="shared" si="5"/>
        <v>5</v>
      </c>
      <c r="AE17" s="31">
        <f t="shared" si="6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5"/>
        <v>0</v>
      </c>
      <c r="AE18" s="31">
        <f t="shared" si="6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5"/>
        <v>0</v>
      </c>
      <c r="AE19" s="31">
        <f t="shared" si="6"/>
        <v>0</v>
      </c>
    </row>
    <row r="20" spans="1:31" ht="15" thickTop="1">
      <c r="A20" s="63">
        <v>4</v>
      </c>
      <c r="C20" s="5"/>
      <c r="D20" s="5">
        <v>1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32"/>
      <c r="AD20" s="40">
        <f t="shared" si="5"/>
        <v>1</v>
      </c>
      <c r="AE20" s="31">
        <f t="shared" si="6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5"/>
        <v>0</v>
      </c>
      <c r="AE21" s="31">
        <f t="shared" si="6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5"/>
        <v>0</v>
      </c>
      <c r="AE22" s="31">
        <f t="shared" si="6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5"/>
        <v>0</v>
      </c>
      <c r="AE23" s="31">
        <f t="shared" si="6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5"/>
        <v>0</v>
      </c>
      <c r="AE24" s="31">
        <f t="shared" si="6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5"/>
        <v>0</v>
      </c>
      <c r="AE25" s="31">
        <f t="shared" si="6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5"/>
        <v>0</v>
      </c>
      <c r="AE26" s="31">
        <f t="shared" si="6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5"/>
        <v>0</v>
      </c>
      <c r="AE27" s="31">
        <f t="shared" si="6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5"/>
        <v>0</v>
      </c>
      <c r="AE28" s="31">
        <f t="shared" si="6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32"/>
      <c r="AD29" s="40">
        <f t="shared" si="5"/>
        <v>0</v>
      </c>
      <c r="AE29" s="31">
        <f t="shared" si="6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5"/>
        <v>0</v>
      </c>
      <c r="AE30" s="31">
        <f t="shared" si="6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5"/>
        <v>0</v>
      </c>
      <c r="AE31" s="31">
        <f t="shared" si="6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32"/>
      <c r="AD32" s="40">
        <f t="shared" si="5"/>
        <v>0</v>
      </c>
      <c r="AE32" s="31">
        <f t="shared" si="6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5"/>
        <v>0</v>
      </c>
      <c r="AE33" s="31">
        <f t="shared" si="6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5"/>
        <v>0</v>
      </c>
      <c r="AE34" s="31">
        <f t="shared" si="6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2"/>
      <c r="AD35" s="40">
        <f t="shared" si="5"/>
        <v>0</v>
      </c>
      <c r="AE35" s="31">
        <f t="shared" si="6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5"/>
        <v>0</v>
      </c>
      <c r="AE36" s="31">
        <f t="shared" si="6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5"/>
        <v>0</v>
      </c>
      <c r="AE37" s="31">
        <f t="shared" si="6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32"/>
      <c r="AD38" s="40">
        <f t="shared" si="5"/>
        <v>0</v>
      </c>
      <c r="AE38" s="31">
        <f t="shared" si="6"/>
        <v>0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5"/>
        <v>0</v>
      </c>
      <c r="AE39" s="31">
        <f t="shared" si="6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5"/>
        <v>0</v>
      </c>
      <c r="AE40" s="31">
        <f t="shared" si="6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>
        <v>2</v>
      </c>
      <c r="R41" s="5"/>
      <c r="S41" s="5"/>
      <c r="T41" s="5"/>
      <c r="U41" s="5"/>
      <c r="V41" s="5">
        <v>2</v>
      </c>
      <c r="W41" s="5"/>
      <c r="X41" s="5"/>
      <c r="Y41" s="5"/>
      <c r="Z41" s="5"/>
      <c r="AA41" s="5"/>
      <c r="AB41" s="5"/>
      <c r="AC41" s="32"/>
      <c r="AD41" s="40">
        <f t="shared" si="5"/>
        <v>4</v>
      </c>
      <c r="AE41" s="31">
        <f t="shared" si="6"/>
        <v>2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5"/>
        <v>0</v>
      </c>
      <c r="AE42" s="31">
        <f t="shared" si="6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5"/>
        <v>0</v>
      </c>
      <c r="AE43" s="31">
        <f t="shared" si="6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32"/>
      <c r="AD44" s="40">
        <f t="shared" si="5"/>
        <v>0</v>
      </c>
      <c r="AE44" s="31">
        <f t="shared" si="6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5"/>
        <v>0</v>
      </c>
      <c r="AE45" s="31">
        <f t="shared" si="6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5"/>
        <v>0</v>
      </c>
      <c r="AE46" s="31">
        <f t="shared" si="6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5"/>
        <v>0</v>
      </c>
      <c r="AE47" s="31">
        <f t="shared" si="6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5"/>
        <v>0</v>
      </c>
      <c r="AE48" s="31">
        <f t="shared" si="6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5"/>
        <v>0</v>
      </c>
      <c r="AE49" s="31">
        <f t="shared" si="6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5"/>
        <v>0</v>
      </c>
      <c r="AE50" s="31">
        <f t="shared" si="6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5"/>
        <v>0</v>
      </c>
      <c r="AE51" s="31">
        <f t="shared" si="6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5"/>
        <v>0</v>
      </c>
      <c r="AE52" s="31">
        <f t="shared" si="6"/>
        <v>0</v>
      </c>
    </row>
    <row r="53" spans="1:31" ht="15" thickTop="1">
      <c r="A53" s="63">
        <v>15</v>
      </c>
      <c r="C53" s="5"/>
      <c r="D53" s="5">
        <v>1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>
        <v>1</v>
      </c>
      <c r="U53" s="5"/>
      <c r="V53" s="5">
        <v>5</v>
      </c>
      <c r="W53" s="5"/>
      <c r="X53" s="5">
        <v>1</v>
      </c>
      <c r="Y53" s="5"/>
      <c r="Z53" s="5"/>
      <c r="AA53" s="5"/>
      <c r="AB53" s="5"/>
      <c r="AC53" s="32"/>
      <c r="AD53" s="40">
        <f t="shared" si="5"/>
        <v>8</v>
      </c>
      <c r="AE53" s="31">
        <f t="shared" si="6"/>
        <v>1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5"/>
        <v>0</v>
      </c>
      <c r="AE54" s="31">
        <f t="shared" si="6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5"/>
        <v>0</v>
      </c>
      <c r="AE55" s="31">
        <f t="shared" si="6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32"/>
      <c r="AD56" s="40">
        <f t="shared" si="5"/>
        <v>0</v>
      </c>
      <c r="AE56" s="31">
        <f t="shared" si="6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5"/>
        <v>0</v>
      </c>
      <c r="AE57" s="31">
        <f t="shared" si="6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5"/>
        <v>0</v>
      </c>
      <c r="AE58" s="31">
        <f t="shared" si="6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>
        <v>1</v>
      </c>
      <c r="W59" s="5"/>
      <c r="X59" s="5"/>
      <c r="Y59" s="5"/>
      <c r="Z59" s="5"/>
      <c r="AA59" s="5"/>
      <c r="AB59" s="5"/>
      <c r="AC59" s="32"/>
      <c r="AD59" s="40">
        <f t="shared" si="5"/>
        <v>1</v>
      </c>
      <c r="AE59" s="31">
        <f t="shared" si="6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5"/>
        <v>0</v>
      </c>
      <c r="AE60" s="31">
        <f t="shared" si="6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5"/>
        <v>0</v>
      </c>
      <c r="AE61" s="31">
        <f t="shared" si="6"/>
        <v>0</v>
      </c>
    </row>
    <row r="62" spans="1:31" ht="15" thickTop="1">
      <c r="A62" s="63">
        <v>18</v>
      </c>
      <c r="C62" s="2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5"/>
        <v>0</v>
      </c>
      <c r="AE62" s="31">
        <f t="shared" si="6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5"/>
        <v>0</v>
      </c>
      <c r="AE63" s="31">
        <f t="shared" si="6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5"/>
        <v>0</v>
      </c>
      <c r="AE64" s="31">
        <f t="shared" si="6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5"/>
        <v>0</v>
      </c>
      <c r="AE65" s="31">
        <f t="shared" si="6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5"/>
        <v>0</v>
      </c>
      <c r="AE66" s="31">
        <f t="shared" si="6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5"/>
        <v>0</v>
      </c>
      <c r="AE67" s="31">
        <f t="shared" si="6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5"/>
        <v>0</v>
      </c>
      <c r="AE68" s="31">
        <f t="shared" si="6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5"/>
        <v>0</v>
      </c>
      <c r="AE69" s="31">
        <f t="shared" si="6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5"/>
        <v>0</v>
      </c>
      <c r="AE70" s="31">
        <f t="shared" si="6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5"/>
        <v>0</v>
      </c>
      <c r="AE71" s="31">
        <f t="shared" si="6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5"/>
        <v>0</v>
      </c>
      <c r="AE72" s="31">
        <f t="shared" si="6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5"/>
        <v>0</v>
      </c>
      <c r="AE73" s="31">
        <f t="shared" si="6"/>
        <v>0</v>
      </c>
    </row>
    <row r="74" spans="1:31" ht="15" thickTop="1">
      <c r="A74" s="63">
        <v>22</v>
      </c>
      <c r="C74" s="28"/>
      <c r="D74" s="5">
        <v>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>
        <v>2</v>
      </c>
      <c r="R74" s="5"/>
      <c r="S74" s="5">
        <v>1</v>
      </c>
      <c r="T74" s="5"/>
      <c r="U74" s="5"/>
      <c r="V74" s="5">
        <v>3</v>
      </c>
      <c r="W74" s="5"/>
      <c r="X74" s="5"/>
      <c r="Y74" s="5"/>
      <c r="Z74" s="5"/>
      <c r="AA74" s="5"/>
      <c r="AB74" s="5"/>
      <c r="AC74" s="32"/>
      <c r="AD74" s="40">
        <f t="shared" si="5"/>
        <v>8</v>
      </c>
      <c r="AE74" s="31">
        <f t="shared" si="6"/>
        <v>3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5"/>
        <v>0</v>
      </c>
      <c r="AE75" s="31">
        <f t="shared" si="6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7">SUM(C76:AC76)</f>
        <v>0</v>
      </c>
      <c r="AE76" s="31">
        <f t="shared" ref="AE76:AE103" si="8">SUM(J76:U76)</f>
        <v>0</v>
      </c>
    </row>
    <row r="77" spans="1:31" ht="15" thickTop="1">
      <c r="A77" s="63">
        <v>23</v>
      </c>
      <c r="C77" s="2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32"/>
      <c r="AD77" s="40">
        <f t="shared" si="7"/>
        <v>0</v>
      </c>
      <c r="AE77" s="31">
        <f t="shared" si="8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>
        <v>1</v>
      </c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7"/>
        <v>1</v>
      </c>
      <c r="AE78" s="31">
        <f t="shared" si="8"/>
        <v>1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7"/>
        <v>0</v>
      </c>
      <c r="AE79" s="31">
        <f t="shared" si="8"/>
        <v>0</v>
      </c>
    </row>
    <row r="80" spans="1:31" ht="15" thickTop="1">
      <c r="A80" s="63">
        <v>24</v>
      </c>
      <c r="C80" s="28"/>
      <c r="D80" s="5">
        <v>1</v>
      </c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>
        <v>1</v>
      </c>
      <c r="W80" s="5"/>
      <c r="X80" s="5">
        <v>1</v>
      </c>
      <c r="Y80" s="5"/>
      <c r="Z80" s="5"/>
      <c r="AA80" s="5"/>
      <c r="AB80" s="5"/>
      <c r="AC80" s="32"/>
      <c r="AD80" s="40">
        <f t="shared" si="7"/>
        <v>3</v>
      </c>
      <c r="AE80" s="31">
        <f t="shared" si="8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7"/>
        <v>0</v>
      </c>
      <c r="AE81" s="31">
        <f t="shared" si="8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>
        <v>1</v>
      </c>
      <c r="AC82" s="34"/>
      <c r="AD82" s="40">
        <f t="shared" si="7"/>
        <v>1</v>
      </c>
      <c r="AE82" s="31">
        <f t="shared" si="8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>
        <v>1</v>
      </c>
      <c r="X83" s="5"/>
      <c r="Y83" s="5"/>
      <c r="Z83" s="5"/>
      <c r="AA83" s="5"/>
      <c r="AB83" s="5"/>
      <c r="AC83" s="32"/>
      <c r="AD83" s="40">
        <f t="shared" si="7"/>
        <v>1</v>
      </c>
      <c r="AE83" s="31">
        <f t="shared" si="8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7"/>
        <v>0</v>
      </c>
      <c r="AE84" s="31">
        <f t="shared" si="8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7"/>
        <v>0</v>
      </c>
      <c r="AE85" s="31">
        <f t="shared" si="8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7"/>
        <v>0</v>
      </c>
      <c r="AE86" s="31">
        <f t="shared" si="8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7"/>
        <v>0</v>
      </c>
      <c r="AE87" s="31">
        <f t="shared" si="8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7"/>
        <v>0</v>
      </c>
      <c r="AE88" s="31">
        <f t="shared" si="8"/>
        <v>0</v>
      </c>
    </row>
    <row r="89" spans="1:31" ht="15" thickTop="1">
      <c r="A89" s="63">
        <v>27</v>
      </c>
      <c r="C89" s="2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32"/>
      <c r="AD89" s="40">
        <f t="shared" si="7"/>
        <v>0</v>
      </c>
      <c r="AE89" s="31">
        <f t="shared" si="8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7"/>
        <v>0</v>
      </c>
      <c r="AE90" s="31">
        <f t="shared" si="8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34"/>
      <c r="AD91" s="40">
        <f t="shared" si="7"/>
        <v>0</v>
      </c>
      <c r="AE91" s="31">
        <f t="shared" si="8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32"/>
      <c r="AD92" s="40">
        <f t="shared" si="7"/>
        <v>0</v>
      </c>
      <c r="AE92" s="31">
        <f t="shared" si="8"/>
        <v>0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7"/>
        <v>0</v>
      </c>
      <c r="AE93" s="31">
        <f t="shared" si="8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7"/>
        <v>0</v>
      </c>
      <c r="AE94" s="31">
        <f t="shared" si="8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7"/>
        <v>0</v>
      </c>
      <c r="AE95" s="31">
        <f t="shared" si="8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7"/>
        <v>0</v>
      </c>
      <c r="AE96" s="31">
        <f t="shared" si="8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7"/>
        <v>0</v>
      </c>
      <c r="AE97" s="31">
        <f t="shared" si="8"/>
        <v>0</v>
      </c>
    </row>
    <row r="98" spans="1:31" ht="15" thickTop="1">
      <c r="A98" s="63">
        <v>30</v>
      </c>
      <c r="C98" s="28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32"/>
      <c r="AD98" s="40">
        <f t="shared" si="7"/>
        <v>0</v>
      </c>
      <c r="AE98" s="31">
        <f t="shared" si="8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7"/>
        <v>0</v>
      </c>
      <c r="AE99" s="31">
        <f t="shared" si="8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7"/>
        <v>0</v>
      </c>
      <c r="AE100" s="31">
        <f t="shared" si="8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7"/>
        <v>0</v>
      </c>
      <c r="AE101" s="31">
        <f t="shared" si="8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7"/>
        <v>0</v>
      </c>
      <c r="AE102" s="31">
        <f t="shared" si="8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7"/>
        <v>0</v>
      </c>
      <c r="AE103" s="31">
        <f t="shared" si="8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9" priority="1">
      <formula>OR(CELL("col")=COLUMN(),CELL("row")=ROW())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A34F4-7CBB-4DD4-821A-2446F4FDC788}">
  <sheetPr codeName="Sheet15"/>
  <dimension ref="A1:AF104"/>
  <sheetViews>
    <sheetView rightToLeft="1" zoomScale="60" zoomScaleNormal="60" workbookViewId="0">
      <pane xSplit="1" ySplit="9" topLeftCell="B58" activePane="bottomRight" state="frozen"/>
      <selection pane="topRight" activeCell="B1" sqref="B1"/>
      <selection pane="bottomLeft" activeCell="A10" sqref="A10"/>
      <selection pane="bottomRight" activeCell="X61" sqref="X61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57</v>
      </c>
      <c r="B6" s="5" t="s">
        <v>41</v>
      </c>
      <c r="C6" s="38">
        <f t="shared" ref="C6:R7" si="0">SUM(C11,C14,C17,C20,C23,C26,C29,C32,C35,C38,C41,C44,C47,C50,C53,C56,C59,C62,C65,C68,C71,C74,C77,C80,C83,C86,C89,C92,C95,C98,C101)</f>
        <v>0</v>
      </c>
      <c r="D6" s="38">
        <f t="shared" si="0"/>
        <v>5</v>
      </c>
      <c r="E6" s="38">
        <f t="shared" si="0"/>
        <v>3</v>
      </c>
      <c r="F6" s="38">
        <f t="shared" si="0"/>
        <v>0</v>
      </c>
      <c r="G6" s="38">
        <f t="shared" si="0"/>
        <v>0</v>
      </c>
      <c r="H6" s="38">
        <f t="shared" si="0"/>
        <v>0</v>
      </c>
      <c r="I6" s="38">
        <f t="shared" si="0"/>
        <v>0</v>
      </c>
      <c r="J6" s="38">
        <f t="shared" si="0"/>
        <v>0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0</v>
      </c>
      <c r="P6" s="38">
        <f t="shared" si="0"/>
        <v>0</v>
      </c>
      <c r="Q6" s="38">
        <f t="shared" si="0"/>
        <v>0</v>
      </c>
      <c r="R6" s="38">
        <f t="shared" si="0"/>
        <v>0</v>
      </c>
      <c r="S6" s="38">
        <f t="shared" ref="S6:AC8" si="1">SUM(S11,S14,S17,S20,S23,S26,S29,S32,S35,S38,S41,S44,S47,S50,S53,S56,S59,S62,S65,S68,S71,S74,S77,S80,S83,S86,S89,S92,S95,S98,S101)</f>
        <v>0</v>
      </c>
      <c r="T6" s="38">
        <f t="shared" si="1"/>
        <v>0</v>
      </c>
      <c r="U6" s="38">
        <f t="shared" si="1"/>
        <v>0</v>
      </c>
      <c r="V6" s="38">
        <f t="shared" si="1"/>
        <v>13</v>
      </c>
      <c r="W6" s="38">
        <f t="shared" si="1"/>
        <v>0</v>
      </c>
      <c r="X6" s="38">
        <f t="shared" si="1"/>
        <v>3</v>
      </c>
      <c r="Y6" s="38">
        <f t="shared" si="1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8">
        <f t="shared" si="1"/>
        <v>0</v>
      </c>
      <c r="AD6" s="39">
        <f>SUM(C6:AC6)</f>
        <v>24</v>
      </c>
      <c r="AE6" s="5">
        <f>SUM(J6:U6)</f>
        <v>0</v>
      </c>
      <c r="AF6" s="78">
        <f>(AE6+AE7+AE8)/(AD6+AD7+AD8-Z9)*100</f>
        <v>0</v>
      </c>
    </row>
    <row r="7" spans="1:32" ht="22.5" customHeight="1">
      <c r="A7" s="95"/>
      <c r="B7" s="4" t="s">
        <v>42</v>
      </c>
      <c r="C7" s="4">
        <f t="shared" si="0"/>
        <v>1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 t="shared" si="0"/>
        <v>0</v>
      </c>
      <c r="O7" s="4">
        <f t="shared" si="0"/>
        <v>0</v>
      </c>
      <c r="P7" s="4">
        <f t="shared" si="0"/>
        <v>0</v>
      </c>
      <c r="Q7" s="4">
        <f t="shared" si="0"/>
        <v>0</v>
      </c>
      <c r="R7" s="4">
        <f t="shared" si="0"/>
        <v>0</v>
      </c>
      <c r="S7" s="4">
        <f t="shared" si="1"/>
        <v>0</v>
      </c>
      <c r="T7" s="4">
        <f t="shared" si="1"/>
        <v>0</v>
      </c>
      <c r="U7" s="4">
        <f t="shared" si="1"/>
        <v>0</v>
      </c>
      <c r="V7" s="4">
        <f t="shared" si="1"/>
        <v>0</v>
      </c>
      <c r="W7" s="4">
        <f t="shared" si="1"/>
        <v>0</v>
      </c>
      <c r="X7" s="4">
        <f t="shared" si="1"/>
        <v>1</v>
      </c>
      <c r="Y7" s="4">
        <f t="shared" si="1"/>
        <v>0</v>
      </c>
      <c r="Z7" s="51">
        <f t="shared" si="1"/>
        <v>0</v>
      </c>
      <c r="AA7" s="51">
        <f t="shared" si="1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1"/>
        <v>0</v>
      </c>
      <c r="AD7" s="4">
        <f t="shared" ref="AD7:AD8" si="2">SUM(C7:AC7)</f>
        <v>2</v>
      </c>
      <c r="AE7" s="4">
        <f t="shared" ref="AE7:AE8" si="3">SUM(J7:U7)</f>
        <v>0</v>
      </c>
      <c r="AF7" s="78"/>
    </row>
    <row r="8" spans="1:32" ht="22.5" customHeight="1" thickBot="1">
      <c r="A8" s="96"/>
      <c r="B8" s="7" t="s">
        <v>43</v>
      </c>
      <c r="C8" s="37">
        <f>SUM(C13,C16,C19,C22,C25,C28,C31,C34,C37,C40,C43,C46,C49,C52,C55,C58,C61,C64,C67,C70,C73,C76,C79,C82,C85,C88,C91,C94,C97,C100,C103)</f>
        <v>0</v>
      </c>
      <c r="D8" s="37">
        <f t="shared" ref="D8:AC8" si="4">SUM(D13,D16,D19,D22,D25,D28,D31,D34,D37,D40,D43,D46,D49,D52,D55,D58,D61,D64,D67,D70,D73,D76,D79,D82,D85,D88,D91,D94,D97,D100,D103)</f>
        <v>0</v>
      </c>
      <c r="E8" s="37">
        <f t="shared" si="4"/>
        <v>0</v>
      </c>
      <c r="F8" s="37">
        <f t="shared" si="4"/>
        <v>0</v>
      </c>
      <c r="G8" s="37">
        <f t="shared" si="4"/>
        <v>0</v>
      </c>
      <c r="H8" s="37">
        <f t="shared" si="4"/>
        <v>0</v>
      </c>
      <c r="I8" s="37">
        <f t="shared" si="4"/>
        <v>0</v>
      </c>
      <c r="J8" s="37">
        <f t="shared" si="4"/>
        <v>0</v>
      </c>
      <c r="K8" s="37">
        <f t="shared" si="4"/>
        <v>0</v>
      </c>
      <c r="L8" s="37">
        <f t="shared" si="4"/>
        <v>0</v>
      </c>
      <c r="M8" s="37">
        <f t="shared" si="4"/>
        <v>0</v>
      </c>
      <c r="N8" s="37">
        <f t="shared" si="4"/>
        <v>0</v>
      </c>
      <c r="O8" s="37">
        <f t="shared" si="4"/>
        <v>0</v>
      </c>
      <c r="P8" s="37">
        <f t="shared" si="4"/>
        <v>0</v>
      </c>
      <c r="Q8" s="37">
        <f t="shared" si="4"/>
        <v>0</v>
      </c>
      <c r="R8" s="37">
        <f t="shared" si="4"/>
        <v>0</v>
      </c>
      <c r="S8" s="37">
        <f t="shared" si="4"/>
        <v>0</v>
      </c>
      <c r="T8" s="37">
        <f t="shared" si="4"/>
        <v>0</v>
      </c>
      <c r="U8" s="37">
        <f t="shared" si="4"/>
        <v>0</v>
      </c>
      <c r="V8" s="37">
        <f t="shared" si="4"/>
        <v>0</v>
      </c>
      <c r="W8" s="37">
        <f t="shared" si="4"/>
        <v>0</v>
      </c>
      <c r="X8" s="37">
        <f t="shared" si="4"/>
        <v>0</v>
      </c>
      <c r="Y8" s="37">
        <f t="shared" si="4"/>
        <v>0</v>
      </c>
      <c r="Z8" s="52">
        <f t="shared" si="1"/>
        <v>0</v>
      </c>
      <c r="AA8" s="52">
        <f t="shared" si="1"/>
        <v>0</v>
      </c>
      <c r="AB8" s="52">
        <f>SUM(AB13,AB16,AB19,AB22,AB25,AB28,AB31,AB34,AB37,AB40,AB43,AB46,AB49,AB52,AB55,AB58,AB61,AB64,AB67,AB70,AB73,AB76,AB79,AB82,AB85,AB88,AB91,AB94,AB97,AB100,AB103)</f>
        <v>1</v>
      </c>
      <c r="AC8" s="37">
        <f t="shared" si="4"/>
        <v>0</v>
      </c>
      <c r="AD8" s="37">
        <f t="shared" si="2"/>
        <v>1</v>
      </c>
      <c r="AE8" s="7">
        <f t="shared" si="3"/>
        <v>0</v>
      </c>
      <c r="AF8" s="78"/>
    </row>
    <row r="9" spans="1:32" ht="15.5" thickTop="1" thickBot="1">
      <c r="Z9" s="83">
        <f>SUM(Z6:AB8)</f>
        <v>1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32"/>
      <c r="AD11" s="40">
        <f>SUM(C11:AC11)</f>
        <v>0</v>
      </c>
      <c r="AE11" s="31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5">SUM(C12:AC12)</f>
        <v>0</v>
      </c>
      <c r="AE12" s="31">
        <f t="shared" ref="AE12:AE75" si="6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5"/>
        <v>0</v>
      </c>
      <c r="AE13" s="31">
        <f t="shared" si="6"/>
        <v>0</v>
      </c>
    </row>
    <row r="14" spans="1:32" ht="15" thickTop="1">
      <c r="A14" s="63">
        <v>2</v>
      </c>
      <c r="B14" s="31"/>
      <c r="C14" s="28"/>
      <c r="D14" s="5">
        <v>1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>
        <v>4</v>
      </c>
      <c r="W14" s="5"/>
      <c r="X14" s="5"/>
      <c r="Y14" s="5"/>
      <c r="Z14" s="5"/>
      <c r="AA14" s="5"/>
      <c r="AB14" s="5"/>
      <c r="AC14" s="32"/>
      <c r="AD14" s="40">
        <f t="shared" si="5"/>
        <v>5</v>
      </c>
      <c r="AE14" s="31">
        <f t="shared" si="6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5"/>
        <v>0</v>
      </c>
      <c r="AE15" s="31">
        <f t="shared" si="6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5"/>
        <v>0</v>
      </c>
      <c r="AE16" s="31">
        <f t="shared" si="6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32"/>
      <c r="AD17" s="40">
        <f t="shared" si="5"/>
        <v>0</v>
      </c>
      <c r="AE17" s="31">
        <f t="shared" si="6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5"/>
        <v>0</v>
      </c>
      <c r="AE18" s="31">
        <f t="shared" si="6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5"/>
        <v>0</v>
      </c>
      <c r="AE19" s="31">
        <f t="shared" si="6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32"/>
      <c r="AD20" s="40">
        <f t="shared" si="5"/>
        <v>0</v>
      </c>
      <c r="AE20" s="31">
        <f t="shared" si="6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5"/>
        <v>0</v>
      </c>
      <c r="AE21" s="31">
        <f t="shared" si="6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5"/>
        <v>0</v>
      </c>
      <c r="AE22" s="31">
        <f t="shared" si="6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5"/>
        <v>0</v>
      </c>
      <c r="AE23" s="31">
        <f t="shared" si="6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5"/>
        <v>0</v>
      </c>
      <c r="AE24" s="31">
        <f t="shared" si="6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5"/>
        <v>0</v>
      </c>
      <c r="AE25" s="31">
        <f t="shared" si="6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5"/>
        <v>0</v>
      </c>
      <c r="AE26" s="31">
        <f t="shared" si="6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5"/>
        <v>0</v>
      </c>
      <c r="AE27" s="31">
        <f t="shared" si="6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5"/>
        <v>0</v>
      </c>
      <c r="AE28" s="31">
        <f t="shared" si="6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32"/>
      <c r="AD29" s="40">
        <f t="shared" si="5"/>
        <v>0</v>
      </c>
      <c r="AE29" s="31">
        <f t="shared" si="6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5"/>
        <v>0</v>
      </c>
      <c r="AE30" s="31">
        <f t="shared" si="6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5"/>
        <v>0</v>
      </c>
      <c r="AE31" s="31">
        <f t="shared" si="6"/>
        <v>0</v>
      </c>
    </row>
    <row r="32" spans="1:31" ht="15" thickTop="1">
      <c r="A32" s="63">
        <v>8</v>
      </c>
      <c r="C32" s="28"/>
      <c r="D32" s="5">
        <v>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>
        <v>3</v>
      </c>
      <c r="W32" s="5"/>
      <c r="X32" s="5"/>
      <c r="Y32" s="5"/>
      <c r="Z32" s="5"/>
      <c r="AA32" s="5"/>
      <c r="AB32" s="5"/>
      <c r="AC32" s="32"/>
      <c r="AD32" s="40">
        <f t="shared" si="5"/>
        <v>4</v>
      </c>
      <c r="AE32" s="31">
        <f t="shared" si="6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5"/>
        <v>0</v>
      </c>
      <c r="AE33" s="31">
        <f t="shared" si="6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5"/>
        <v>0</v>
      </c>
      <c r="AE34" s="31">
        <f t="shared" si="6"/>
        <v>0</v>
      </c>
    </row>
    <row r="35" spans="1:31" ht="15" thickTop="1">
      <c r="A35" s="63">
        <v>9</v>
      </c>
      <c r="C35" s="28"/>
      <c r="D35" s="5"/>
      <c r="E35" s="5">
        <v>1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>
        <v>4</v>
      </c>
      <c r="W35" s="5"/>
      <c r="X35" s="5">
        <v>1</v>
      </c>
      <c r="Y35" s="5"/>
      <c r="Z35" s="5"/>
      <c r="AA35" s="5"/>
      <c r="AB35" s="5"/>
      <c r="AC35" s="32"/>
      <c r="AD35" s="40">
        <f t="shared" si="5"/>
        <v>6</v>
      </c>
      <c r="AE35" s="31">
        <f t="shared" si="6"/>
        <v>0</v>
      </c>
    </row>
    <row r="36" spans="1:31">
      <c r="A36" s="63"/>
      <c r="C36" s="29">
        <v>1</v>
      </c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>
        <v>1</v>
      </c>
      <c r="Y36" s="4"/>
      <c r="Z36" s="4"/>
      <c r="AA36" s="4"/>
      <c r="AB36" s="4"/>
      <c r="AC36" s="33"/>
      <c r="AD36" s="40">
        <f t="shared" si="5"/>
        <v>2</v>
      </c>
      <c r="AE36" s="31">
        <f t="shared" si="6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5"/>
        <v>0</v>
      </c>
      <c r="AE37" s="31">
        <f t="shared" si="6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32"/>
      <c r="AD38" s="40">
        <f t="shared" si="5"/>
        <v>0</v>
      </c>
      <c r="AE38" s="31">
        <f t="shared" si="6"/>
        <v>0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5"/>
        <v>0</v>
      </c>
      <c r="AE39" s="31">
        <f t="shared" si="6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5"/>
        <v>0</v>
      </c>
      <c r="AE40" s="31">
        <f t="shared" si="6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32"/>
      <c r="AD41" s="40">
        <f t="shared" si="5"/>
        <v>0</v>
      </c>
      <c r="AE41" s="31">
        <f t="shared" si="6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5"/>
        <v>0</v>
      </c>
      <c r="AE42" s="31">
        <f t="shared" si="6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5"/>
        <v>0</v>
      </c>
      <c r="AE43" s="31">
        <f t="shared" si="6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32"/>
      <c r="AD44" s="40">
        <f t="shared" si="5"/>
        <v>0</v>
      </c>
      <c r="AE44" s="31">
        <f t="shared" si="6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5"/>
        <v>0</v>
      </c>
      <c r="AE45" s="31">
        <f t="shared" si="6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5"/>
        <v>0</v>
      </c>
      <c r="AE46" s="31">
        <f t="shared" si="6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5"/>
        <v>0</v>
      </c>
      <c r="AE47" s="31">
        <f t="shared" si="6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5"/>
        <v>0</v>
      </c>
      <c r="AE48" s="31">
        <f t="shared" si="6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5"/>
        <v>0</v>
      </c>
      <c r="AE49" s="31">
        <f t="shared" si="6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5"/>
        <v>0</v>
      </c>
      <c r="AE50" s="31">
        <f t="shared" si="6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5"/>
        <v>0</v>
      </c>
      <c r="AE51" s="31">
        <f t="shared" si="6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5"/>
        <v>0</v>
      </c>
      <c r="AE52" s="31">
        <f t="shared" si="6"/>
        <v>0</v>
      </c>
    </row>
    <row r="53" spans="1:31" ht="15" thickTop="1">
      <c r="A53" s="63">
        <v>15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32"/>
      <c r="AD53" s="40">
        <f t="shared" si="5"/>
        <v>0</v>
      </c>
      <c r="AE53" s="31">
        <f t="shared" si="6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5"/>
        <v>0</v>
      </c>
      <c r="AE54" s="31">
        <f t="shared" si="6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5"/>
        <v>0</v>
      </c>
      <c r="AE55" s="31">
        <f t="shared" si="6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>
        <v>1</v>
      </c>
      <c r="W56" s="5"/>
      <c r="X56" s="5">
        <v>2</v>
      </c>
      <c r="Y56" s="5"/>
      <c r="Z56" s="5"/>
      <c r="AA56" s="5"/>
      <c r="AB56" s="5"/>
      <c r="AC56" s="32"/>
      <c r="AD56" s="40">
        <f t="shared" si="5"/>
        <v>3</v>
      </c>
      <c r="AE56" s="31">
        <f t="shared" si="6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5"/>
        <v>0</v>
      </c>
      <c r="AE57" s="31">
        <f t="shared" si="6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5"/>
        <v>0</v>
      </c>
      <c r="AE58" s="31">
        <f t="shared" si="6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32"/>
      <c r="AD59" s="40">
        <f t="shared" si="5"/>
        <v>0</v>
      </c>
      <c r="AE59" s="31">
        <f t="shared" si="6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5"/>
        <v>0</v>
      </c>
      <c r="AE60" s="31">
        <f t="shared" si="6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5"/>
        <v>0</v>
      </c>
      <c r="AE61" s="31">
        <f t="shared" si="6"/>
        <v>0</v>
      </c>
    </row>
    <row r="62" spans="1:31" ht="15" thickTop="1">
      <c r="A62" s="63">
        <v>18</v>
      </c>
      <c r="C62" s="2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5"/>
        <v>0</v>
      </c>
      <c r="AE62" s="31">
        <f t="shared" si="6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5"/>
        <v>0</v>
      </c>
      <c r="AE63" s="31">
        <f t="shared" si="6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5"/>
        <v>0</v>
      </c>
      <c r="AE64" s="31">
        <f t="shared" si="6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5"/>
        <v>0</v>
      </c>
      <c r="AE65" s="31">
        <f t="shared" si="6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5"/>
        <v>0</v>
      </c>
      <c r="AE66" s="31">
        <f t="shared" si="6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5"/>
        <v>0</v>
      </c>
      <c r="AE67" s="31">
        <f t="shared" si="6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5"/>
        <v>0</v>
      </c>
      <c r="AE68" s="31">
        <f t="shared" si="6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5"/>
        <v>0</v>
      </c>
      <c r="AE69" s="31">
        <f t="shared" si="6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5"/>
        <v>0</v>
      </c>
      <c r="AE70" s="31">
        <f t="shared" si="6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5"/>
        <v>0</v>
      </c>
      <c r="AE71" s="31">
        <f t="shared" si="6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5"/>
        <v>0</v>
      </c>
      <c r="AE72" s="31">
        <f t="shared" si="6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5"/>
        <v>0</v>
      </c>
      <c r="AE73" s="31">
        <f t="shared" si="6"/>
        <v>0</v>
      </c>
    </row>
    <row r="74" spans="1:31" ht="15" thickTop="1">
      <c r="A74" s="63">
        <v>22</v>
      </c>
      <c r="C74" s="28"/>
      <c r="D74" s="5">
        <v>3</v>
      </c>
      <c r="E74" s="5">
        <v>1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>
        <v>1</v>
      </c>
      <c r="W74" s="5"/>
      <c r="X74" s="5"/>
      <c r="Y74" s="5"/>
      <c r="Z74" s="5"/>
      <c r="AA74" s="5"/>
      <c r="AB74" s="5"/>
      <c r="AC74" s="32"/>
      <c r="AD74" s="40">
        <f t="shared" si="5"/>
        <v>5</v>
      </c>
      <c r="AE74" s="31">
        <f t="shared" si="6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5"/>
        <v>0</v>
      </c>
      <c r="AE75" s="31">
        <f t="shared" si="6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>
        <v>1</v>
      </c>
      <c r="AC76" s="34"/>
      <c r="AD76" s="40">
        <f t="shared" ref="AD76:AD103" si="7">SUM(C76:AC76)</f>
        <v>1</v>
      </c>
      <c r="AE76" s="31">
        <f t="shared" ref="AE76:AE103" si="8">SUM(J76:U76)</f>
        <v>0</v>
      </c>
    </row>
    <row r="77" spans="1:31" ht="15" thickTop="1">
      <c r="A77" s="63">
        <v>23</v>
      </c>
      <c r="C77" s="28"/>
      <c r="D77" s="5"/>
      <c r="E77" s="5">
        <v>1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32"/>
      <c r="AD77" s="40">
        <f t="shared" si="7"/>
        <v>1</v>
      </c>
      <c r="AE77" s="31">
        <f t="shared" si="8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7"/>
        <v>0</v>
      </c>
      <c r="AE78" s="31">
        <f t="shared" si="8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7"/>
        <v>0</v>
      </c>
      <c r="AE79" s="31">
        <f t="shared" si="8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32"/>
      <c r="AD80" s="40">
        <f t="shared" si="7"/>
        <v>0</v>
      </c>
      <c r="AE80" s="31">
        <f t="shared" si="8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7"/>
        <v>0</v>
      </c>
      <c r="AE81" s="31">
        <f t="shared" si="8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7"/>
        <v>0</v>
      </c>
      <c r="AE82" s="31">
        <f t="shared" si="8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32"/>
      <c r="AD83" s="40">
        <f t="shared" si="7"/>
        <v>0</v>
      </c>
      <c r="AE83" s="31">
        <f t="shared" si="8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7"/>
        <v>0</v>
      </c>
      <c r="AE84" s="31">
        <f t="shared" si="8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7"/>
        <v>0</v>
      </c>
      <c r="AE85" s="31">
        <f t="shared" si="8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7"/>
        <v>0</v>
      </c>
      <c r="AE86" s="31">
        <f t="shared" si="8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7"/>
        <v>0</v>
      </c>
      <c r="AE87" s="31">
        <f t="shared" si="8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7"/>
        <v>0</v>
      </c>
      <c r="AE88" s="31">
        <f t="shared" si="8"/>
        <v>0</v>
      </c>
    </row>
    <row r="89" spans="1:31" ht="15" thickTop="1">
      <c r="A89" s="63">
        <v>27</v>
      </c>
      <c r="C89" s="2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32"/>
      <c r="AD89" s="40">
        <f t="shared" si="7"/>
        <v>0</v>
      </c>
      <c r="AE89" s="31">
        <f t="shared" si="8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7"/>
        <v>0</v>
      </c>
      <c r="AE90" s="31">
        <f t="shared" si="8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34"/>
      <c r="AD91" s="40">
        <f t="shared" si="7"/>
        <v>0</v>
      </c>
      <c r="AE91" s="31">
        <f t="shared" si="8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32"/>
      <c r="AD92" s="40">
        <f t="shared" si="7"/>
        <v>0</v>
      </c>
      <c r="AE92" s="31">
        <f t="shared" si="8"/>
        <v>0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7"/>
        <v>0</v>
      </c>
      <c r="AE93" s="31">
        <f t="shared" si="8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7"/>
        <v>0</v>
      </c>
      <c r="AE94" s="31">
        <f t="shared" si="8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7"/>
        <v>0</v>
      </c>
      <c r="AE95" s="31">
        <f t="shared" si="8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7"/>
        <v>0</v>
      </c>
      <c r="AE96" s="31">
        <f t="shared" si="8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7"/>
        <v>0</v>
      </c>
      <c r="AE97" s="31">
        <f t="shared" si="8"/>
        <v>0</v>
      </c>
    </row>
    <row r="98" spans="1:31" ht="15" thickTop="1">
      <c r="A98" s="63">
        <v>30</v>
      </c>
      <c r="C98" s="28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32"/>
      <c r="AD98" s="40">
        <f t="shared" si="7"/>
        <v>0</v>
      </c>
      <c r="AE98" s="31">
        <f t="shared" si="8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7"/>
        <v>0</v>
      </c>
      <c r="AE99" s="31">
        <f t="shared" si="8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7"/>
        <v>0</v>
      </c>
      <c r="AE100" s="31">
        <f t="shared" si="8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7"/>
        <v>0</v>
      </c>
      <c r="AE101" s="31">
        <f t="shared" si="8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7"/>
        <v>0</v>
      </c>
      <c r="AE102" s="31">
        <f t="shared" si="8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7"/>
        <v>0</v>
      </c>
      <c r="AE103" s="31">
        <f t="shared" si="8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8" priority="1">
      <formula>OR(CELL("col")=COLUMN(),CELL("row")=ROW())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953EF-5687-4380-99B0-00C65D2F2A7B}">
  <sheetPr codeName="Sheet16"/>
  <dimension ref="A1:AF104"/>
  <sheetViews>
    <sheetView rightToLeft="1" zoomScale="60" zoomScaleNormal="60" workbookViewId="0">
      <pane xSplit="1" ySplit="9" topLeftCell="B82" activePane="bottomRight" state="frozen"/>
      <selection pane="topRight" activeCell="B1" sqref="B1"/>
      <selection pane="bottomLeft" activeCell="A10" sqref="A10"/>
      <selection pane="bottomRight" activeCell="M83" sqref="M83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58</v>
      </c>
      <c r="B6" s="5" t="s">
        <v>41</v>
      </c>
      <c r="C6" s="38">
        <f t="shared" ref="C6:R7" si="0">SUM(C11,C14,C17,C20,C23,C26,C29,C32,C35,C38,C41,C44,C47,C50,C53,C56,C59,C62,C65,C68,C71,C74,C77,C80,C83,C86,C89,C92,C95,C98,C101)</f>
        <v>0</v>
      </c>
      <c r="D6" s="38">
        <f t="shared" si="0"/>
        <v>0</v>
      </c>
      <c r="E6" s="38">
        <f t="shared" si="0"/>
        <v>0</v>
      </c>
      <c r="F6" s="38">
        <f t="shared" si="0"/>
        <v>0</v>
      </c>
      <c r="G6" s="38">
        <f t="shared" si="0"/>
        <v>0</v>
      </c>
      <c r="H6" s="38">
        <f t="shared" si="0"/>
        <v>0</v>
      </c>
      <c r="I6" s="38">
        <f t="shared" si="0"/>
        <v>0</v>
      </c>
      <c r="J6" s="38">
        <f t="shared" si="0"/>
        <v>0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0</v>
      </c>
      <c r="P6" s="38">
        <f t="shared" si="0"/>
        <v>0</v>
      </c>
      <c r="Q6" s="38">
        <f t="shared" si="0"/>
        <v>0</v>
      </c>
      <c r="R6" s="38">
        <f t="shared" si="0"/>
        <v>0</v>
      </c>
      <c r="S6" s="38">
        <f t="shared" ref="S6:AC6" si="1">SUM(S11,S14,S17,S20,S23,S26,S29,S32,S35,S38,S41,S44,S47,S50,S53,S56,S59,S62,S65,S68,S71,S74,S77,S80,S83,S86,S89,S92,S95,S98,S101)</f>
        <v>1</v>
      </c>
      <c r="T6" s="38">
        <f t="shared" si="1"/>
        <v>0</v>
      </c>
      <c r="U6" s="38">
        <f t="shared" si="1"/>
        <v>1</v>
      </c>
      <c r="V6" s="38">
        <f t="shared" si="1"/>
        <v>19</v>
      </c>
      <c r="W6" s="38">
        <f t="shared" si="1"/>
        <v>0</v>
      </c>
      <c r="X6" s="38">
        <f t="shared" si="1"/>
        <v>2</v>
      </c>
      <c r="Y6" s="38">
        <f t="shared" si="1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8">
        <f t="shared" si="1"/>
        <v>0</v>
      </c>
      <c r="AD6" s="5">
        <f>SUM(C6:AC6)</f>
        <v>23</v>
      </c>
      <c r="AE6" s="5">
        <f>SUM(J6:U6)</f>
        <v>2</v>
      </c>
      <c r="AF6" s="78">
        <f>(AE6+AE7+AE8)/(AD6+AD7+AD8-Z9)*100</f>
        <v>8.695652173913043</v>
      </c>
    </row>
    <row r="7" spans="1:32" ht="22.5" customHeight="1">
      <c r="A7" s="95"/>
      <c r="B7" s="4" t="s">
        <v>42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 t="shared" si="0"/>
        <v>0</v>
      </c>
      <c r="O7" s="4">
        <f t="shared" si="0"/>
        <v>0</v>
      </c>
      <c r="P7" s="4">
        <f t="shared" si="0"/>
        <v>0</v>
      </c>
      <c r="Q7" s="4">
        <f t="shared" si="0"/>
        <v>0</v>
      </c>
      <c r="R7" s="4">
        <f t="shared" si="0"/>
        <v>0</v>
      </c>
      <c r="S7" s="4">
        <f t="shared" ref="S7:AC8" si="2">SUM(S12,S15,S18,S21,S24,S27,S30,S33,S36,S39,S42,S45,S48,S51,S54,S57,S60,S63,S66,S69,S72,S75,S78,S81,S84,S87,S90,S93,S96,S99,S102)</f>
        <v>0</v>
      </c>
      <c r="T7" s="4">
        <f t="shared" si="2"/>
        <v>0</v>
      </c>
      <c r="U7" s="4">
        <f t="shared" si="2"/>
        <v>0</v>
      </c>
      <c r="V7" s="4">
        <f t="shared" si="2"/>
        <v>0</v>
      </c>
      <c r="W7" s="4">
        <f t="shared" si="2"/>
        <v>0</v>
      </c>
      <c r="X7" s="4">
        <f t="shared" si="2"/>
        <v>0</v>
      </c>
      <c r="Y7" s="4">
        <f t="shared" si="2"/>
        <v>0</v>
      </c>
      <c r="Z7" s="51">
        <f t="shared" si="2"/>
        <v>0</v>
      </c>
      <c r="AA7" s="51">
        <f t="shared" si="2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2"/>
        <v>0</v>
      </c>
      <c r="AD7" s="4">
        <f t="shared" ref="AD7:AD8" si="3">SUM(C7:AC7)</f>
        <v>0</v>
      </c>
      <c r="AE7" s="4">
        <f t="shared" ref="AE7:AE8" si="4">SUM(J7:U7)</f>
        <v>0</v>
      </c>
      <c r="AF7" s="78"/>
    </row>
    <row r="8" spans="1:32" ht="22.5" customHeight="1" thickBot="1">
      <c r="A8" s="96"/>
      <c r="B8" s="7" t="s">
        <v>43</v>
      </c>
      <c r="C8" s="37">
        <f>SUM(C13,C16,C19,C22,C25,C28,C31,C34,C37,C40,C43,C46,C49,C52,C55,C58,C61,C64,C67,C70,C73,C76,C79,C82,C85,C88,C91,C94,C97,C100,C103)</f>
        <v>0</v>
      </c>
      <c r="D8" s="37">
        <f t="shared" ref="D8:AC8" si="5">SUM(D13,D16,D19,D22,D25,D28,D31,D34,D37,D40,D43,D46,D49,D52,D55,D58,D61,D64,D67,D70,D73,D76,D79,D82,D85,D88,D91,D94,D97,D100,D103)</f>
        <v>0</v>
      </c>
      <c r="E8" s="37">
        <f t="shared" si="5"/>
        <v>0</v>
      </c>
      <c r="F8" s="37">
        <f t="shared" si="5"/>
        <v>0</v>
      </c>
      <c r="G8" s="37">
        <f t="shared" si="5"/>
        <v>0</v>
      </c>
      <c r="H8" s="37">
        <f t="shared" si="5"/>
        <v>0</v>
      </c>
      <c r="I8" s="37">
        <f t="shared" si="5"/>
        <v>0</v>
      </c>
      <c r="J8" s="37">
        <f t="shared" si="5"/>
        <v>0</v>
      </c>
      <c r="K8" s="37">
        <f t="shared" si="5"/>
        <v>0</v>
      </c>
      <c r="L8" s="37">
        <f t="shared" si="5"/>
        <v>0</v>
      </c>
      <c r="M8" s="37">
        <f t="shared" si="5"/>
        <v>0</v>
      </c>
      <c r="N8" s="37">
        <f t="shared" si="5"/>
        <v>0</v>
      </c>
      <c r="O8" s="37">
        <f t="shared" si="5"/>
        <v>0</v>
      </c>
      <c r="P8" s="37">
        <f t="shared" si="5"/>
        <v>0</v>
      </c>
      <c r="Q8" s="37">
        <f t="shared" si="5"/>
        <v>0</v>
      </c>
      <c r="R8" s="37">
        <f t="shared" si="5"/>
        <v>0</v>
      </c>
      <c r="S8" s="37">
        <f t="shared" si="5"/>
        <v>0</v>
      </c>
      <c r="T8" s="37">
        <f t="shared" si="5"/>
        <v>0</v>
      </c>
      <c r="U8" s="37">
        <f t="shared" si="5"/>
        <v>0</v>
      </c>
      <c r="V8" s="37">
        <f t="shared" si="5"/>
        <v>0</v>
      </c>
      <c r="W8" s="37">
        <f t="shared" si="5"/>
        <v>0</v>
      </c>
      <c r="X8" s="37">
        <f t="shared" si="5"/>
        <v>0</v>
      </c>
      <c r="Y8" s="37">
        <f t="shared" si="5"/>
        <v>0</v>
      </c>
      <c r="Z8" s="52">
        <f t="shared" si="2"/>
        <v>0</v>
      </c>
      <c r="AA8" s="52">
        <f t="shared" si="2"/>
        <v>0</v>
      </c>
      <c r="AB8" s="52">
        <f>SUM(AB13,AB16,AB19,AB22,AB25,AB28,AB31,AB34,AB37,AB40,AB43,AB46,AB49,AB52,AB55,AB58,AB61,AB64,AB67,AB70,AB73,AB76,AB79,AB82,AB85,AB88,AB91,AB94,AB97,AB100,AB103)</f>
        <v>0</v>
      </c>
      <c r="AC8" s="37">
        <f t="shared" si="5"/>
        <v>0</v>
      </c>
      <c r="AD8" s="7">
        <f t="shared" si="3"/>
        <v>0</v>
      </c>
      <c r="AE8" s="7">
        <f t="shared" si="4"/>
        <v>0</v>
      </c>
      <c r="AF8" s="78"/>
    </row>
    <row r="9" spans="1:32" ht="15.5" thickTop="1" thickBot="1">
      <c r="Z9" s="83">
        <f>SUM(Z6:AB8)</f>
        <v>0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32"/>
      <c r="AD11" s="40">
        <f>SUM(C11:AC11)</f>
        <v>0</v>
      </c>
      <c r="AE11" s="31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6">SUM(C12:AC12)</f>
        <v>0</v>
      </c>
      <c r="AE12" s="31">
        <f t="shared" ref="AE12:AE75" si="7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6"/>
        <v>0</v>
      </c>
      <c r="AE13" s="31">
        <f t="shared" si="7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>
        <v>4</v>
      </c>
      <c r="W14" s="5"/>
      <c r="X14" s="5">
        <v>1</v>
      </c>
      <c r="Y14" s="5"/>
      <c r="Z14" s="5"/>
      <c r="AA14" s="5"/>
      <c r="AB14" s="5"/>
      <c r="AC14" s="32"/>
      <c r="AD14" s="40">
        <f t="shared" si="6"/>
        <v>5</v>
      </c>
      <c r="AE14" s="31">
        <f t="shared" si="7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6"/>
        <v>0</v>
      </c>
      <c r="AE15" s="31">
        <f t="shared" si="7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6"/>
        <v>0</v>
      </c>
      <c r="AE16" s="31">
        <f t="shared" si="7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32"/>
      <c r="AD17" s="40">
        <f t="shared" si="6"/>
        <v>0</v>
      </c>
      <c r="AE17" s="31">
        <f t="shared" si="7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6"/>
        <v>0</v>
      </c>
      <c r="AE18" s="31">
        <f t="shared" si="7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6"/>
        <v>0</v>
      </c>
      <c r="AE19" s="31">
        <f t="shared" si="7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>
        <v>1</v>
      </c>
      <c r="V20" s="5"/>
      <c r="W20" s="5"/>
      <c r="X20" s="5"/>
      <c r="Y20" s="5"/>
      <c r="Z20" s="5"/>
      <c r="AA20" s="5"/>
      <c r="AB20" s="5"/>
      <c r="AC20" s="32"/>
      <c r="AD20" s="40">
        <f t="shared" si="6"/>
        <v>1</v>
      </c>
      <c r="AE20" s="31">
        <f t="shared" si="7"/>
        <v>1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6"/>
        <v>0</v>
      </c>
      <c r="AE21" s="31">
        <f t="shared" si="7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6"/>
        <v>0</v>
      </c>
      <c r="AE22" s="31">
        <f t="shared" si="7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6"/>
        <v>0</v>
      </c>
      <c r="AE23" s="31">
        <f t="shared" si="7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6"/>
        <v>0</v>
      </c>
      <c r="AE24" s="31">
        <f t="shared" si="7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6"/>
        <v>0</v>
      </c>
      <c r="AE25" s="31">
        <f t="shared" si="7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6"/>
        <v>0</v>
      </c>
      <c r="AE26" s="31">
        <f t="shared" si="7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6"/>
        <v>0</v>
      </c>
      <c r="AE27" s="31">
        <f t="shared" si="7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6"/>
        <v>0</v>
      </c>
      <c r="AE28" s="31">
        <f t="shared" si="7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32"/>
      <c r="AD29" s="40">
        <f t="shared" si="6"/>
        <v>0</v>
      </c>
      <c r="AE29" s="31">
        <f t="shared" si="7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6"/>
        <v>0</v>
      </c>
      <c r="AE30" s="31">
        <f t="shared" si="7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6"/>
        <v>0</v>
      </c>
      <c r="AE31" s="31">
        <f t="shared" si="7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32"/>
      <c r="AD32" s="40">
        <f t="shared" si="6"/>
        <v>0</v>
      </c>
      <c r="AE32" s="31">
        <f t="shared" si="7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6"/>
        <v>0</v>
      </c>
      <c r="AE33" s="31">
        <f t="shared" si="7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6"/>
        <v>0</v>
      </c>
      <c r="AE34" s="31">
        <f t="shared" si="7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>
        <v>5</v>
      </c>
      <c r="W35" s="5"/>
      <c r="X35" s="5"/>
      <c r="Y35" s="5"/>
      <c r="Z35" s="5"/>
      <c r="AA35" s="5"/>
      <c r="AB35" s="5"/>
      <c r="AC35" s="32"/>
      <c r="AD35" s="40">
        <f t="shared" si="6"/>
        <v>5</v>
      </c>
      <c r="AE35" s="31">
        <f t="shared" si="7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6"/>
        <v>0</v>
      </c>
      <c r="AE36" s="31">
        <f t="shared" si="7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6"/>
        <v>0</v>
      </c>
      <c r="AE37" s="31">
        <f t="shared" si="7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32"/>
      <c r="AD38" s="40">
        <f t="shared" si="6"/>
        <v>0</v>
      </c>
      <c r="AE38" s="31">
        <f t="shared" si="7"/>
        <v>0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6"/>
        <v>0</v>
      </c>
      <c r="AE39" s="31">
        <f t="shared" si="7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6"/>
        <v>0</v>
      </c>
      <c r="AE40" s="31">
        <f t="shared" si="7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>
        <v>3</v>
      </c>
      <c r="W41" s="5"/>
      <c r="X41" s="5"/>
      <c r="Y41" s="5"/>
      <c r="Z41" s="5"/>
      <c r="AA41" s="5"/>
      <c r="AB41" s="5"/>
      <c r="AC41" s="32"/>
      <c r="AD41" s="40">
        <f t="shared" si="6"/>
        <v>3</v>
      </c>
      <c r="AE41" s="31">
        <f t="shared" si="7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6"/>
        <v>0</v>
      </c>
      <c r="AE42" s="31">
        <f t="shared" si="7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6"/>
        <v>0</v>
      </c>
      <c r="AE43" s="31">
        <f t="shared" si="7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32"/>
      <c r="AD44" s="40">
        <f t="shared" si="6"/>
        <v>0</v>
      </c>
      <c r="AE44" s="31">
        <f t="shared" si="7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6"/>
        <v>0</v>
      </c>
      <c r="AE45" s="31">
        <f t="shared" si="7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6"/>
        <v>0</v>
      </c>
      <c r="AE46" s="31">
        <f t="shared" si="7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6"/>
        <v>0</v>
      </c>
      <c r="AE47" s="31">
        <f t="shared" si="7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6"/>
        <v>0</v>
      </c>
      <c r="AE48" s="31">
        <f t="shared" si="7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6"/>
        <v>0</v>
      </c>
      <c r="AE49" s="31">
        <f t="shared" si="7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6"/>
        <v>0</v>
      </c>
      <c r="AE50" s="31">
        <f t="shared" si="7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6"/>
        <v>0</v>
      </c>
      <c r="AE51" s="31">
        <f t="shared" si="7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6"/>
        <v>0</v>
      </c>
      <c r="AE52" s="31">
        <f t="shared" si="7"/>
        <v>0</v>
      </c>
    </row>
    <row r="53" spans="1:31" ht="15" thickTop="1">
      <c r="A53" s="63">
        <v>15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32"/>
      <c r="AD53" s="40">
        <f t="shared" si="6"/>
        <v>0</v>
      </c>
      <c r="AE53" s="31">
        <f t="shared" si="7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6"/>
        <v>0</v>
      </c>
      <c r="AE54" s="31">
        <f t="shared" si="7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6"/>
        <v>0</v>
      </c>
      <c r="AE55" s="31">
        <f t="shared" si="7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32"/>
      <c r="AD56" s="40">
        <f t="shared" si="6"/>
        <v>0</v>
      </c>
      <c r="AE56" s="31">
        <f t="shared" si="7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6"/>
        <v>0</v>
      </c>
      <c r="AE57" s="31">
        <f t="shared" si="7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6"/>
        <v>0</v>
      </c>
      <c r="AE58" s="31">
        <f t="shared" si="7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32"/>
      <c r="AD59" s="40">
        <f t="shared" si="6"/>
        <v>0</v>
      </c>
      <c r="AE59" s="31">
        <f t="shared" si="7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6"/>
        <v>0</v>
      </c>
      <c r="AE60" s="31">
        <f t="shared" si="7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6"/>
        <v>0</v>
      </c>
      <c r="AE61" s="31">
        <f t="shared" si="7"/>
        <v>0</v>
      </c>
    </row>
    <row r="62" spans="1:31" ht="15" thickTop="1">
      <c r="A62" s="63">
        <v>18</v>
      </c>
      <c r="C62" s="2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6"/>
        <v>0</v>
      </c>
      <c r="AE62" s="31">
        <f t="shared" si="7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6"/>
        <v>0</v>
      </c>
      <c r="AE63" s="31">
        <f t="shared" si="7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6"/>
        <v>0</v>
      </c>
      <c r="AE64" s="31">
        <f t="shared" si="7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6"/>
        <v>0</v>
      </c>
      <c r="AE65" s="31">
        <f t="shared" si="7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6"/>
        <v>0</v>
      </c>
      <c r="AE66" s="31">
        <f t="shared" si="7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6"/>
        <v>0</v>
      </c>
      <c r="AE67" s="31">
        <f t="shared" si="7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6"/>
        <v>0</v>
      </c>
      <c r="AE68" s="31">
        <f t="shared" si="7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6"/>
        <v>0</v>
      </c>
      <c r="AE69" s="31">
        <f t="shared" si="7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6"/>
        <v>0</v>
      </c>
      <c r="AE70" s="31">
        <f t="shared" si="7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6"/>
        <v>0</v>
      </c>
      <c r="AE71" s="31">
        <f t="shared" si="7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6"/>
        <v>0</v>
      </c>
      <c r="AE72" s="31">
        <f t="shared" si="7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6"/>
        <v>0</v>
      </c>
      <c r="AE73" s="31">
        <f t="shared" si="7"/>
        <v>0</v>
      </c>
    </row>
    <row r="74" spans="1:31" ht="15" thickTop="1">
      <c r="A74" s="63">
        <v>22</v>
      </c>
      <c r="C74" s="2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32"/>
      <c r="AD74" s="40">
        <f t="shared" si="6"/>
        <v>0</v>
      </c>
      <c r="AE74" s="31">
        <f t="shared" si="7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6"/>
        <v>0</v>
      </c>
      <c r="AE75" s="31">
        <f t="shared" si="7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8">SUM(C76:AC76)</f>
        <v>0</v>
      </c>
      <c r="AE76" s="31">
        <f t="shared" ref="AE76:AE103" si="9">SUM(J76:U76)</f>
        <v>0</v>
      </c>
    </row>
    <row r="77" spans="1:31" ht="15" thickTop="1">
      <c r="A77" s="63">
        <v>23</v>
      </c>
      <c r="C77" s="2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>
        <v>6</v>
      </c>
      <c r="W77" s="5"/>
      <c r="X77" s="5"/>
      <c r="Y77" s="5"/>
      <c r="Z77" s="5"/>
      <c r="AA77" s="5"/>
      <c r="AB77" s="5"/>
      <c r="AC77" s="32"/>
      <c r="AD77" s="40">
        <f t="shared" si="8"/>
        <v>6</v>
      </c>
      <c r="AE77" s="31">
        <f t="shared" si="9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8"/>
        <v>0</v>
      </c>
      <c r="AE78" s="31">
        <f t="shared" si="9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8"/>
        <v>0</v>
      </c>
      <c r="AE79" s="31">
        <f t="shared" si="9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32"/>
      <c r="AD80" s="40">
        <f t="shared" si="8"/>
        <v>0</v>
      </c>
      <c r="AE80" s="31">
        <f t="shared" si="9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8"/>
        <v>0</v>
      </c>
      <c r="AE81" s="31">
        <f t="shared" si="9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8"/>
        <v>0</v>
      </c>
      <c r="AE82" s="31">
        <f t="shared" si="9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>
        <v>1</v>
      </c>
      <c r="T83" s="5"/>
      <c r="U83" s="5"/>
      <c r="V83" s="5">
        <v>1</v>
      </c>
      <c r="W83" s="5"/>
      <c r="X83" s="5">
        <v>1</v>
      </c>
      <c r="Y83" s="5"/>
      <c r="Z83" s="5"/>
      <c r="AA83" s="5"/>
      <c r="AB83" s="5"/>
      <c r="AC83" s="32"/>
      <c r="AD83" s="40">
        <f t="shared" si="8"/>
        <v>3</v>
      </c>
      <c r="AE83" s="31">
        <f t="shared" si="9"/>
        <v>1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8"/>
        <v>0</v>
      </c>
      <c r="AE84" s="31">
        <f t="shared" si="9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8"/>
        <v>0</v>
      </c>
      <c r="AE85" s="31">
        <f t="shared" si="9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8"/>
        <v>0</v>
      </c>
      <c r="AE86" s="31">
        <f t="shared" si="9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8"/>
        <v>0</v>
      </c>
      <c r="AE87" s="31">
        <f t="shared" si="9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8"/>
        <v>0</v>
      </c>
      <c r="AE88" s="31">
        <f t="shared" si="9"/>
        <v>0</v>
      </c>
    </row>
    <row r="89" spans="1:31" ht="15" thickTop="1">
      <c r="A89" s="63">
        <v>27</v>
      </c>
      <c r="C89" s="2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32"/>
      <c r="AD89" s="40">
        <f t="shared" si="8"/>
        <v>0</v>
      </c>
      <c r="AE89" s="31">
        <f t="shared" si="9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8"/>
        <v>0</v>
      </c>
      <c r="AE90" s="31">
        <f t="shared" si="9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34"/>
      <c r="AD91" s="40">
        <f t="shared" si="8"/>
        <v>0</v>
      </c>
      <c r="AE91" s="31">
        <f t="shared" si="9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32"/>
      <c r="AD92" s="40">
        <f t="shared" si="8"/>
        <v>0</v>
      </c>
      <c r="AE92" s="31">
        <f t="shared" si="9"/>
        <v>0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8"/>
        <v>0</v>
      </c>
      <c r="AE93" s="31">
        <f t="shared" si="9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8"/>
        <v>0</v>
      </c>
      <c r="AE94" s="31">
        <f t="shared" si="9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8"/>
        <v>0</v>
      </c>
      <c r="AE95" s="31">
        <f t="shared" si="9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8"/>
        <v>0</v>
      </c>
      <c r="AE96" s="31">
        <f t="shared" si="9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8"/>
        <v>0</v>
      </c>
      <c r="AE97" s="31">
        <f t="shared" si="9"/>
        <v>0</v>
      </c>
    </row>
    <row r="98" spans="1:31" ht="15" thickTop="1">
      <c r="A98" s="63">
        <v>30</v>
      </c>
      <c r="C98" s="28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32"/>
      <c r="AD98" s="40">
        <f t="shared" si="8"/>
        <v>0</v>
      </c>
      <c r="AE98" s="31">
        <f t="shared" si="9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8"/>
        <v>0</v>
      </c>
      <c r="AE99" s="31">
        <f t="shared" si="9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8"/>
        <v>0</v>
      </c>
      <c r="AE100" s="31">
        <f t="shared" si="9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8"/>
        <v>0</v>
      </c>
      <c r="AE101" s="31">
        <f t="shared" si="9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8"/>
        <v>0</v>
      </c>
      <c r="AE102" s="31">
        <f t="shared" si="9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8"/>
        <v>0</v>
      </c>
      <c r="AE103" s="31">
        <f t="shared" si="9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7" priority="1">
      <formula>OR(CELL("col")=COLUMN(),CELL("row")=ROW())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5E0DA-B29F-4BC2-8949-4FF207ED6D8E}">
  <sheetPr codeName="Sheet18"/>
  <dimension ref="A1:AF104"/>
  <sheetViews>
    <sheetView rightToLeft="1" zoomScale="60" zoomScaleNormal="60" workbookViewId="0">
      <pane xSplit="1" ySplit="9" topLeftCell="B69" activePane="bottomRight" state="frozen"/>
      <selection pane="topRight" activeCell="B1" sqref="B1"/>
      <selection pane="bottomLeft" activeCell="A10" sqref="A10"/>
      <selection pane="bottomRight" activeCell="S84" sqref="S84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60</v>
      </c>
      <c r="B6" s="5" t="s">
        <v>41</v>
      </c>
      <c r="C6" s="38">
        <f t="shared" ref="C6:R7" si="0">SUM(C11,C14,C17,C20,C23,C26,C29,C32,C35,C38,C41,C44,C47,C50,C53,C56,C59,C62,C65,C68,C71,C74,C77,C80,C83,C86,C89,C92,C95,C98,C101)</f>
        <v>0</v>
      </c>
      <c r="D6" s="38">
        <f t="shared" si="0"/>
        <v>6</v>
      </c>
      <c r="E6" s="38">
        <f t="shared" si="0"/>
        <v>3</v>
      </c>
      <c r="F6" s="38">
        <f t="shared" si="0"/>
        <v>0</v>
      </c>
      <c r="G6" s="38">
        <f t="shared" si="0"/>
        <v>0</v>
      </c>
      <c r="H6" s="38">
        <f t="shared" si="0"/>
        <v>0</v>
      </c>
      <c r="I6" s="38">
        <f t="shared" si="0"/>
        <v>0</v>
      </c>
      <c r="J6" s="38">
        <f t="shared" si="0"/>
        <v>0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1</v>
      </c>
      <c r="P6" s="38">
        <f t="shared" si="0"/>
        <v>1</v>
      </c>
      <c r="Q6" s="38">
        <f t="shared" si="0"/>
        <v>2</v>
      </c>
      <c r="R6" s="38">
        <f t="shared" si="0"/>
        <v>1</v>
      </c>
      <c r="S6" s="38">
        <f t="shared" ref="S6:AC6" si="1">SUM(S11,S14,S17,S20,S23,S26,S29,S32,S35,S38,S41,S44,S47,S50,S53,S56,S59,S62,S65,S68,S71,S74,S77,S80,S83,S86,S89,S92,S95,S98,S101)</f>
        <v>0</v>
      </c>
      <c r="T6" s="38">
        <f t="shared" si="1"/>
        <v>4</v>
      </c>
      <c r="U6" s="38">
        <f t="shared" si="1"/>
        <v>1</v>
      </c>
      <c r="V6" s="38">
        <f t="shared" si="1"/>
        <v>9</v>
      </c>
      <c r="W6" s="38">
        <f t="shared" si="1"/>
        <v>2</v>
      </c>
      <c r="X6" s="38">
        <f t="shared" si="1"/>
        <v>6</v>
      </c>
      <c r="Y6" s="38">
        <f t="shared" si="1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8">
        <f t="shared" si="1"/>
        <v>0</v>
      </c>
      <c r="AD6" s="5">
        <f>SUM(C6:AC6)</f>
        <v>36</v>
      </c>
      <c r="AE6" s="5">
        <f>SUM(J6:U6)</f>
        <v>10</v>
      </c>
      <c r="AF6" s="78">
        <f>(AE6+AE7+AE8)/(AD6+AD7+AD8-Z9)*100</f>
        <v>28.947368421052634</v>
      </c>
    </row>
    <row r="7" spans="1:32" ht="22.5" customHeight="1">
      <c r="A7" s="95"/>
      <c r="B7" s="4" t="s">
        <v>42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 t="shared" si="0"/>
        <v>0</v>
      </c>
      <c r="O7" s="4">
        <f t="shared" si="0"/>
        <v>0</v>
      </c>
      <c r="P7" s="4">
        <f t="shared" si="0"/>
        <v>0</v>
      </c>
      <c r="Q7" s="4">
        <f t="shared" si="0"/>
        <v>0</v>
      </c>
      <c r="R7" s="4">
        <f t="shared" si="0"/>
        <v>0</v>
      </c>
      <c r="S7" s="4">
        <f t="shared" ref="S7:AC8" si="2">SUM(S12,S15,S18,S21,S24,S27,S30,S33,S36,S39,S42,S45,S48,S51,S54,S57,S60,S63,S66,S69,S72,S75,S78,S81,S84,S87,S90,S93,S96,S99,S102)</f>
        <v>0</v>
      </c>
      <c r="T7" s="4">
        <f t="shared" si="2"/>
        <v>0</v>
      </c>
      <c r="U7" s="4">
        <f t="shared" si="2"/>
        <v>0</v>
      </c>
      <c r="V7" s="4">
        <f t="shared" si="2"/>
        <v>0</v>
      </c>
      <c r="W7" s="4">
        <f t="shared" si="2"/>
        <v>0</v>
      </c>
      <c r="X7" s="4">
        <f t="shared" si="2"/>
        <v>0</v>
      </c>
      <c r="Y7" s="4">
        <f t="shared" si="2"/>
        <v>0</v>
      </c>
      <c r="Z7" s="51">
        <f t="shared" si="2"/>
        <v>0</v>
      </c>
      <c r="AA7" s="51">
        <f t="shared" si="2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2"/>
        <v>0</v>
      </c>
      <c r="AD7" s="4">
        <f t="shared" ref="AD7:AD8" si="3">SUM(C7:AC7)</f>
        <v>0</v>
      </c>
      <c r="AE7" s="4">
        <f t="shared" ref="AE7:AE8" si="4">SUM(J7:U7)</f>
        <v>0</v>
      </c>
      <c r="AF7" s="78"/>
    </row>
    <row r="8" spans="1:32" ht="22.5" customHeight="1" thickBot="1">
      <c r="A8" s="96"/>
      <c r="B8" s="7" t="s">
        <v>43</v>
      </c>
      <c r="C8" s="37">
        <f>SUM(C13,C16,C19,C22,C25,C28,C31,C34,C37,C40,C43,C46,C49,C52,C55,C58,C61,C64,C67,C70,C73,C76,C79,C82,C85,C88,C91,C94,C97,C100,C103)</f>
        <v>0</v>
      </c>
      <c r="D8" s="37">
        <f t="shared" ref="D8:AC8" si="5">SUM(D13,D16,D19,D22,D25,D28,D31,D34,D37,D40,D43,D46,D49,D52,D55,D58,D61,D64,D67,D70,D73,D76,D79,D82,D85,D88,D91,D94,D97,D100,D103)</f>
        <v>0</v>
      </c>
      <c r="E8" s="37">
        <f t="shared" si="5"/>
        <v>0</v>
      </c>
      <c r="F8" s="37">
        <f t="shared" si="5"/>
        <v>0</v>
      </c>
      <c r="G8" s="37">
        <f t="shared" si="5"/>
        <v>0</v>
      </c>
      <c r="H8" s="37">
        <f t="shared" si="5"/>
        <v>1</v>
      </c>
      <c r="I8" s="37">
        <f t="shared" si="5"/>
        <v>0</v>
      </c>
      <c r="J8" s="37">
        <f t="shared" si="5"/>
        <v>0</v>
      </c>
      <c r="K8" s="37">
        <f t="shared" si="5"/>
        <v>0</v>
      </c>
      <c r="L8" s="37">
        <f t="shared" si="5"/>
        <v>0</v>
      </c>
      <c r="M8" s="37">
        <f t="shared" si="5"/>
        <v>0</v>
      </c>
      <c r="N8" s="37">
        <f t="shared" si="5"/>
        <v>0</v>
      </c>
      <c r="O8" s="37">
        <f t="shared" si="5"/>
        <v>0</v>
      </c>
      <c r="P8" s="37">
        <f t="shared" si="5"/>
        <v>0</v>
      </c>
      <c r="Q8" s="37">
        <f t="shared" si="5"/>
        <v>0</v>
      </c>
      <c r="R8" s="37">
        <f t="shared" si="5"/>
        <v>0</v>
      </c>
      <c r="S8" s="37">
        <f t="shared" si="5"/>
        <v>0</v>
      </c>
      <c r="T8" s="37">
        <f t="shared" si="5"/>
        <v>0</v>
      </c>
      <c r="U8" s="37">
        <f t="shared" si="5"/>
        <v>1</v>
      </c>
      <c r="V8" s="37">
        <f t="shared" si="5"/>
        <v>0</v>
      </c>
      <c r="W8" s="37">
        <f t="shared" si="5"/>
        <v>0</v>
      </c>
      <c r="X8" s="37">
        <f t="shared" si="5"/>
        <v>0</v>
      </c>
      <c r="Y8" s="37">
        <f t="shared" si="5"/>
        <v>0</v>
      </c>
      <c r="Z8" s="52">
        <f t="shared" si="2"/>
        <v>0</v>
      </c>
      <c r="AA8" s="52">
        <f t="shared" si="2"/>
        <v>3</v>
      </c>
      <c r="AB8" s="52">
        <f>SUM(AB13,AB16,AB19,AB22,AB25,AB28,AB31,AB34,AB37,AB40,AB43,AB46,AB49,AB52,AB55,AB58,AB61,AB64,AB67,AB70,AB73,AB76,AB79,AB82,AB85,AB88,AB91,AB94,AB97,AB100,AB103)</f>
        <v>5</v>
      </c>
      <c r="AC8" s="37">
        <f t="shared" si="5"/>
        <v>0</v>
      </c>
      <c r="AD8" s="7">
        <f t="shared" si="3"/>
        <v>10</v>
      </c>
      <c r="AE8" s="7">
        <f t="shared" si="4"/>
        <v>1</v>
      </c>
      <c r="AF8" s="78"/>
    </row>
    <row r="9" spans="1:32" ht="15.5" thickTop="1" thickBot="1">
      <c r="Z9" s="83">
        <f>SUM(Z6:AB8)</f>
        <v>8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>
        <v>1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>
        <v>1</v>
      </c>
      <c r="R11" s="5"/>
      <c r="S11" s="5"/>
      <c r="T11" s="5"/>
      <c r="U11" s="5"/>
      <c r="V11" s="5">
        <v>1</v>
      </c>
      <c r="W11" s="5"/>
      <c r="X11" s="5">
        <v>1</v>
      </c>
      <c r="Y11" s="5"/>
      <c r="Z11" s="5"/>
      <c r="AA11" s="5"/>
      <c r="AB11" s="5"/>
      <c r="AC11" s="32"/>
      <c r="AD11" s="40">
        <f>SUM(C11:AC11)</f>
        <v>4</v>
      </c>
      <c r="AE11" s="31">
        <f>SUM(J11:U11)</f>
        <v>1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6">SUM(C12:AC12)</f>
        <v>0</v>
      </c>
      <c r="AE12" s="31">
        <f t="shared" ref="AE12:AE75" si="7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6"/>
        <v>0</v>
      </c>
      <c r="AE13" s="31">
        <f t="shared" si="7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>
        <v>1</v>
      </c>
      <c r="W14" s="5"/>
      <c r="X14" s="5"/>
      <c r="Y14" s="5"/>
      <c r="Z14" s="5"/>
      <c r="AA14" s="5"/>
      <c r="AB14" s="5"/>
      <c r="AC14" s="32"/>
      <c r="AD14" s="40">
        <f t="shared" si="6"/>
        <v>1</v>
      </c>
      <c r="AE14" s="31">
        <f t="shared" si="7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6"/>
        <v>0</v>
      </c>
      <c r="AE15" s="31">
        <f t="shared" si="7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>
        <v>1</v>
      </c>
      <c r="V16" s="7"/>
      <c r="W16" s="7"/>
      <c r="X16" s="7"/>
      <c r="Y16" s="7"/>
      <c r="Z16" s="7"/>
      <c r="AA16" s="7"/>
      <c r="AB16" s="7"/>
      <c r="AC16" s="34"/>
      <c r="AD16" s="40">
        <f t="shared" si="6"/>
        <v>1</v>
      </c>
      <c r="AE16" s="31">
        <f t="shared" si="7"/>
        <v>1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>
        <v>1</v>
      </c>
      <c r="W17" s="5"/>
      <c r="X17" s="5">
        <v>2</v>
      </c>
      <c r="Y17" s="5"/>
      <c r="Z17" s="5"/>
      <c r="AA17" s="5"/>
      <c r="AB17" s="5"/>
      <c r="AC17" s="32"/>
      <c r="AD17" s="40">
        <f t="shared" si="6"/>
        <v>3</v>
      </c>
      <c r="AE17" s="31">
        <f t="shared" si="7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6"/>
        <v>0</v>
      </c>
      <c r="AE18" s="31">
        <f t="shared" si="7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6"/>
        <v>0</v>
      </c>
      <c r="AE19" s="31">
        <f t="shared" si="7"/>
        <v>0</v>
      </c>
    </row>
    <row r="20" spans="1:31" ht="15" thickTop="1">
      <c r="A20" s="63">
        <v>4</v>
      </c>
      <c r="C20" s="5"/>
      <c r="D20" s="5">
        <v>1</v>
      </c>
      <c r="E20" s="5">
        <v>1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>
        <v>1</v>
      </c>
      <c r="Y20" s="5"/>
      <c r="Z20" s="5"/>
      <c r="AA20" s="5"/>
      <c r="AB20" s="5"/>
      <c r="AC20" s="32"/>
      <c r="AD20" s="40">
        <f t="shared" si="6"/>
        <v>3</v>
      </c>
      <c r="AE20" s="31">
        <f t="shared" si="7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6"/>
        <v>0</v>
      </c>
      <c r="AE21" s="31">
        <f t="shared" si="7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>
        <v>1</v>
      </c>
      <c r="AC22" s="34"/>
      <c r="AD22" s="40">
        <f t="shared" si="6"/>
        <v>1</v>
      </c>
      <c r="AE22" s="31">
        <f t="shared" si="7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>
        <v>1</v>
      </c>
      <c r="Q23" s="5">
        <v>1</v>
      </c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6"/>
        <v>2</v>
      </c>
      <c r="AE23" s="31">
        <f t="shared" si="7"/>
        <v>2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6"/>
        <v>0</v>
      </c>
      <c r="AE24" s="31">
        <f t="shared" si="7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>
        <v>1</v>
      </c>
      <c r="AB25" s="7"/>
      <c r="AC25" s="34"/>
      <c r="AD25" s="40">
        <f t="shared" si="6"/>
        <v>1</v>
      </c>
      <c r="AE25" s="31">
        <f t="shared" si="7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6"/>
        <v>0</v>
      </c>
      <c r="AE26" s="31">
        <f t="shared" si="7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6"/>
        <v>0</v>
      </c>
      <c r="AE27" s="31">
        <f t="shared" si="7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6"/>
        <v>0</v>
      </c>
      <c r="AE28" s="31">
        <f t="shared" si="7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>
        <v>1</v>
      </c>
      <c r="S29" s="5"/>
      <c r="T29" s="5"/>
      <c r="U29" s="5"/>
      <c r="V29" s="5"/>
      <c r="W29" s="5"/>
      <c r="X29" s="5"/>
      <c r="Y29" s="5"/>
      <c r="Z29" s="5"/>
      <c r="AA29" s="5"/>
      <c r="AB29" s="5"/>
      <c r="AC29" s="32"/>
      <c r="AD29" s="40">
        <f t="shared" si="6"/>
        <v>1</v>
      </c>
      <c r="AE29" s="31">
        <f t="shared" si="7"/>
        <v>1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6"/>
        <v>0</v>
      </c>
      <c r="AE30" s="31">
        <f t="shared" si="7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>
        <v>4</v>
      </c>
      <c r="AC31" s="34"/>
      <c r="AD31" s="40">
        <f t="shared" si="6"/>
        <v>4</v>
      </c>
      <c r="AE31" s="31">
        <f t="shared" si="7"/>
        <v>0</v>
      </c>
    </row>
    <row r="32" spans="1:31" ht="15" thickTop="1">
      <c r="A32" s="63">
        <v>8</v>
      </c>
      <c r="C32" s="28"/>
      <c r="D32" s="5">
        <v>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>
        <v>1</v>
      </c>
      <c r="V32" s="5">
        <v>2</v>
      </c>
      <c r="W32" s="5"/>
      <c r="X32" s="5"/>
      <c r="Y32" s="5"/>
      <c r="Z32" s="5"/>
      <c r="AA32" s="5"/>
      <c r="AB32" s="5"/>
      <c r="AC32" s="32"/>
      <c r="AD32" s="40">
        <f t="shared" si="6"/>
        <v>4</v>
      </c>
      <c r="AE32" s="31">
        <f t="shared" si="7"/>
        <v>1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6"/>
        <v>0</v>
      </c>
      <c r="AE33" s="31">
        <f t="shared" si="7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6"/>
        <v>0</v>
      </c>
      <c r="AE34" s="31">
        <f t="shared" si="7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2"/>
      <c r="AD35" s="40">
        <f t="shared" si="6"/>
        <v>0</v>
      </c>
      <c r="AE35" s="31">
        <f t="shared" si="7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6"/>
        <v>0</v>
      </c>
      <c r="AE36" s="31">
        <f t="shared" si="7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6"/>
        <v>0</v>
      </c>
      <c r="AE37" s="31">
        <f t="shared" si="7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>
        <v>1</v>
      </c>
      <c r="U38" s="5"/>
      <c r="V38" s="5"/>
      <c r="W38" s="5"/>
      <c r="X38" s="5">
        <v>1</v>
      </c>
      <c r="Y38" s="5"/>
      <c r="Z38" s="5"/>
      <c r="AA38" s="5"/>
      <c r="AB38" s="5"/>
      <c r="AC38" s="32"/>
      <c r="AD38" s="40">
        <f t="shared" si="6"/>
        <v>2</v>
      </c>
      <c r="AE38" s="31">
        <f t="shared" si="7"/>
        <v>1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6"/>
        <v>0</v>
      </c>
      <c r="AE39" s="31">
        <f t="shared" si="7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6"/>
        <v>0</v>
      </c>
      <c r="AE40" s="31">
        <f t="shared" si="7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>
        <v>1</v>
      </c>
      <c r="W41" s="5"/>
      <c r="X41" s="5"/>
      <c r="Y41" s="5"/>
      <c r="Z41" s="5"/>
      <c r="AA41" s="5"/>
      <c r="AB41" s="5"/>
      <c r="AC41" s="32"/>
      <c r="AD41" s="40">
        <f t="shared" si="6"/>
        <v>1</v>
      </c>
      <c r="AE41" s="31">
        <f t="shared" si="7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6"/>
        <v>0</v>
      </c>
      <c r="AE42" s="31">
        <f t="shared" si="7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6"/>
        <v>0</v>
      </c>
      <c r="AE43" s="31">
        <f t="shared" si="7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32"/>
      <c r="AD44" s="40">
        <f t="shared" si="6"/>
        <v>0</v>
      </c>
      <c r="AE44" s="31">
        <f t="shared" si="7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6"/>
        <v>0</v>
      </c>
      <c r="AE45" s="31">
        <f t="shared" si="7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6"/>
        <v>0</v>
      </c>
      <c r="AE46" s="31">
        <f t="shared" si="7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6"/>
        <v>0</v>
      </c>
      <c r="AE47" s="31">
        <f t="shared" si="7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6"/>
        <v>0</v>
      </c>
      <c r="AE48" s="31">
        <f t="shared" si="7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6"/>
        <v>0</v>
      </c>
      <c r="AE49" s="31">
        <f t="shared" si="7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6"/>
        <v>0</v>
      </c>
      <c r="AE50" s="31">
        <f t="shared" si="7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6"/>
        <v>0</v>
      </c>
      <c r="AE51" s="31">
        <f t="shared" si="7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6"/>
        <v>0</v>
      </c>
      <c r="AE52" s="31">
        <f t="shared" si="7"/>
        <v>0</v>
      </c>
    </row>
    <row r="53" spans="1:31" ht="15" thickTop="1">
      <c r="A53" s="63">
        <v>15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>
        <v>2</v>
      </c>
      <c r="W53" s="5"/>
      <c r="X53" s="5"/>
      <c r="Y53" s="5"/>
      <c r="Z53" s="5"/>
      <c r="AA53" s="5"/>
      <c r="AB53" s="5"/>
      <c r="AC53" s="32"/>
      <c r="AD53" s="40">
        <f t="shared" si="6"/>
        <v>2</v>
      </c>
      <c r="AE53" s="31">
        <f t="shared" si="7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6"/>
        <v>0</v>
      </c>
      <c r="AE54" s="31">
        <f t="shared" si="7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6"/>
        <v>0</v>
      </c>
      <c r="AE55" s="31">
        <f t="shared" si="7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>
        <v>1</v>
      </c>
      <c r="U56" s="5"/>
      <c r="V56" s="5"/>
      <c r="W56" s="5">
        <v>1</v>
      </c>
      <c r="X56" s="5"/>
      <c r="Y56" s="5"/>
      <c r="Z56" s="5"/>
      <c r="AA56" s="5"/>
      <c r="AB56" s="5"/>
      <c r="AC56" s="32"/>
      <c r="AD56" s="40">
        <f t="shared" si="6"/>
        <v>2</v>
      </c>
      <c r="AE56" s="31">
        <f t="shared" si="7"/>
        <v>1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6"/>
        <v>0</v>
      </c>
      <c r="AE57" s="31">
        <f t="shared" si="7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6"/>
        <v>0</v>
      </c>
      <c r="AE58" s="31">
        <f t="shared" si="7"/>
        <v>0</v>
      </c>
    </row>
    <row r="59" spans="1:31" ht="15" thickTop="1">
      <c r="A59" s="63">
        <v>17</v>
      </c>
      <c r="C59" s="5"/>
      <c r="D59" s="5">
        <v>1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>
        <v>1</v>
      </c>
      <c r="W59" s="5">
        <v>1</v>
      </c>
      <c r="X59" s="5"/>
      <c r="Y59" s="5"/>
      <c r="Z59" s="5"/>
      <c r="AA59" s="5"/>
      <c r="AB59" s="5"/>
      <c r="AC59" s="32"/>
      <c r="AD59" s="40">
        <f t="shared" si="6"/>
        <v>3</v>
      </c>
      <c r="AE59" s="31">
        <f t="shared" si="7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6"/>
        <v>0</v>
      </c>
      <c r="AE60" s="31">
        <f t="shared" si="7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6"/>
        <v>0</v>
      </c>
      <c r="AE61" s="31">
        <f t="shared" si="7"/>
        <v>0</v>
      </c>
    </row>
    <row r="62" spans="1:31" ht="15" thickTop="1">
      <c r="A62" s="63">
        <v>18</v>
      </c>
      <c r="C62" s="28"/>
      <c r="D62" s="5"/>
      <c r="E62" s="5">
        <v>1</v>
      </c>
      <c r="F62" s="5"/>
      <c r="G62" s="5"/>
      <c r="H62" s="5"/>
      <c r="I62" s="5"/>
      <c r="J62" s="5"/>
      <c r="K62" s="5"/>
      <c r="L62" s="5"/>
      <c r="M62" s="5"/>
      <c r="N62" s="5"/>
      <c r="O62" s="5">
        <v>1</v>
      </c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6"/>
        <v>2</v>
      </c>
      <c r="AE62" s="31">
        <f t="shared" si="7"/>
        <v>1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6"/>
        <v>0</v>
      </c>
      <c r="AE63" s="31">
        <f t="shared" si="7"/>
        <v>0</v>
      </c>
    </row>
    <row r="64" spans="1:31" ht="15" thickBot="1">
      <c r="A64" s="63"/>
      <c r="C64" s="30"/>
      <c r="D64" s="7"/>
      <c r="E64" s="7"/>
      <c r="F64" s="7"/>
      <c r="G64" s="7"/>
      <c r="H64" s="7">
        <v>1</v>
      </c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>
        <v>1</v>
      </c>
      <c r="AB64" s="7"/>
      <c r="AC64" s="34"/>
      <c r="AD64" s="40">
        <f t="shared" si="6"/>
        <v>2</v>
      </c>
      <c r="AE64" s="31">
        <f t="shared" si="7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6"/>
        <v>0</v>
      </c>
      <c r="AE65" s="31">
        <f t="shared" si="7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6"/>
        <v>0</v>
      </c>
      <c r="AE66" s="31">
        <f t="shared" si="7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6"/>
        <v>0</v>
      </c>
      <c r="AE67" s="31">
        <f t="shared" si="7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6"/>
        <v>0</v>
      </c>
      <c r="AE68" s="31">
        <f t="shared" si="7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6"/>
        <v>0</v>
      </c>
      <c r="AE69" s="31">
        <f t="shared" si="7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6"/>
        <v>0</v>
      </c>
      <c r="AE70" s="31">
        <f t="shared" si="7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6"/>
        <v>0</v>
      </c>
      <c r="AE71" s="31">
        <f t="shared" si="7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6"/>
        <v>0</v>
      </c>
      <c r="AE72" s="31">
        <f t="shared" si="7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6"/>
        <v>0</v>
      </c>
      <c r="AE73" s="31">
        <f t="shared" si="7"/>
        <v>0</v>
      </c>
    </row>
    <row r="74" spans="1:31" ht="15" thickTop="1">
      <c r="A74" s="63">
        <v>22</v>
      </c>
      <c r="C74" s="28"/>
      <c r="D74" s="5">
        <v>1</v>
      </c>
      <c r="E74" s="5">
        <v>1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>
        <v>1</v>
      </c>
      <c r="Y74" s="5"/>
      <c r="Z74" s="5"/>
      <c r="AA74" s="5"/>
      <c r="AB74" s="5"/>
      <c r="AC74" s="32"/>
      <c r="AD74" s="40">
        <f t="shared" si="6"/>
        <v>3</v>
      </c>
      <c r="AE74" s="31">
        <f t="shared" si="7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6"/>
        <v>0</v>
      </c>
      <c r="AE75" s="31">
        <f t="shared" si="7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8">SUM(C76:AC76)</f>
        <v>0</v>
      </c>
      <c r="AE76" s="31">
        <f t="shared" ref="AE76:AE103" si="9">SUM(J76:U76)</f>
        <v>0</v>
      </c>
    </row>
    <row r="77" spans="1:31" ht="15" thickTop="1">
      <c r="A77" s="63">
        <v>23</v>
      </c>
      <c r="C77" s="2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32"/>
      <c r="AD77" s="40">
        <f t="shared" si="8"/>
        <v>0</v>
      </c>
      <c r="AE77" s="31">
        <f t="shared" si="9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8"/>
        <v>0</v>
      </c>
      <c r="AE78" s="31">
        <f t="shared" si="9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8"/>
        <v>0</v>
      </c>
      <c r="AE79" s="31">
        <f t="shared" si="9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32"/>
      <c r="AD80" s="40">
        <f t="shared" si="8"/>
        <v>0</v>
      </c>
      <c r="AE80" s="31">
        <f t="shared" si="9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8"/>
        <v>0</v>
      </c>
      <c r="AE81" s="31">
        <f t="shared" si="9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8"/>
        <v>0</v>
      </c>
      <c r="AE82" s="31">
        <f t="shared" si="9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>
        <v>1</v>
      </c>
      <c r="U83" s="5"/>
      <c r="V83" s="5"/>
      <c r="W83" s="5"/>
      <c r="X83" s="5"/>
      <c r="Y83" s="5"/>
      <c r="Z83" s="5"/>
      <c r="AA83" s="5"/>
      <c r="AB83" s="5"/>
      <c r="AC83" s="32"/>
      <c r="AD83" s="40">
        <f t="shared" si="8"/>
        <v>1</v>
      </c>
      <c r="AE83" s="31">
        <f t="shared" si="9"/>
        <v>1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8"/>
        <v>0</v>
      </c>
      <c r="AE84" s="31">
        <f t="shared" si="9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8"/>
        <v>0</v>
      </c>
      <c r="AE85" s="31">
        <f t="shared" si="9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8"/>
        <v>0</v>
      </c>
      <c r="AE86" s="31">
        <f t="shared" si="9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8"/>
        <v>0</v>
      </c>
      <c r="AE87" s="31">
        <f t="shared" si="9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8"/>
        <v>0</v>
      </c>
      <c r="AE88" s="31">
        <f t="shared" si="9"/>
        <v>0</v>
      </c>
    </row>
    <row r="89" spans="1:31" ht="15" thickTop="1">
      <c r="A89" s="63">
        <v>27</v>
      </c>
      <c r="C89" s="2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32"/>
      <c r="AD89" s="40">
        <f t="shared" si="8"/>
        <v>0</v>
      </c>
      <c r="AE89" s="31">
        <f t="shared" si="9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8"/>
        <v>0</v>
      </c>
      <c r="AE90" s="31">
        <f t="shared" si="9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>
        <v>1</v>
      </c>
      <c r="AB91" s="7"/>
      <c r="AC91" s="34"/>
      <c r="AD91" s="40">
        <f t="shared" si="8"/>
        <v>1</v>
      </c>
      <c r="AE91" s="31">
        <f t="shared" si="9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>
        <v>1</v>
      </c>
      <c r="U92" s="5"/>
      <c r="V92" s="5"/>
      <c r="W92" s="5"/>
      <c r="X92" s="5"/>
      <c r="Y92" s="5"/>
      <c r="Z92" s="5"/>
      <c r="AA92" s="5"/>
      <c r="AB92" s="5"/>
      <c r="AC92" s="32"/>
      <c r="AD92" s="40">
        <f t="shared" si="8"/>
        <v>1</v>
      </c>
      <c r="AE92" s="31">
        <f t="shared" si="9"/>
        <v>1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8"/>
        <v>0</v>
      </c>
      <c r="AE93" s="31">
        <f t="shared" si="9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8"/>
        <v>0</v>
      </c>
      <c r="AE94" s="31">
        <f t="shared" si="9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8"/>
        <v>0</v>
      </c>
      <c r="AE95" s="31">
        <f t="shared" si="9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8"/>
        <v>0</v>
      </c>
      <c r="AE96" s="31">
        <f t="shared" si="9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8"/>
        <v>0</v>
      </c>
      <c r="AE97" s="31">
        <f t="shared" si="9"/>
        <v>0</v>
      </c>
    </row>
    <row r="98" spans="1:31" ht="15" thickTop="1">
      <c r="A98" s="63">
        <v>30</v>
      </c>
      <c r="C98" s="28"/>
      <c r="D98" s="5">
        <v>1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32"/>
      <c r="AD98" s="40">
        <f t="shared" si="8"/>
        <v>1</v>
      </c>
      <c r="AE98" s="31">
        <f t="shared" si="9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8"/>
        <v>0</v>
      </c>
      <c r="AE99" s="31">
        <f t="shared" si="9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8"/>
        <v>0</v>
      </c>
      <c r="AE100" s="31">
        <f t="shared" si="9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8"/>
        <v>0</v>
      </c>
      <c r="AE101" s="31">
        <f t="shared" si="9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8"/>
        <v>0</v>
      </c>
      <c r="AE102" s="31">
        <f t="shared" si="9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8"/>
        <v>0</v>
      </c>
      <c r="AE103" s="31">
        <f t="shared" si="9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6" priority="1">
      <formula>OR(CELL("col")=COLUMN(),CELL("row")=ROW())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D60BC-EF7F-425D-91BF-5AE366681122}">
  <sheetPr codeName="Sheet19"/>
  <dimension ref="A1:AF104"/>
  <sheetViews>
    <sheetView rightToLeft="1" zoomScale="60" zoomScaleNormal="60" workbookViewId="0">
      <pane xSplit="1" ySplit="9" topLeftCell="B28" activePane="bottomRight" state="frozen"/>
      <selection pane="topRight" activeCell="B1" sqref="B1"/>
      <selection pane="bottomLeft" activeCell="A10" sqref="A10"/>
      <selection pane="bottomRight" activeCell="A35" sqref="A35:A37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61</v>
      </c>
      <c r="B6" s="5" t="s">
        <v>41</v>
      </c>
      <c r="C6" s="38">
        <f t="shared" ref="C6:R7" si="0">SUM(C11,C14,C17,C20,C23,C26,C29,C32,C35,C38,C41,C44,C47,C50,C53,C56,C59,C62,C65,C68,C71,C74,C77,C80,C83,C86,C89,C92,C95,C98,C101)</f>
        <v>0</v>
      </c>
      <c r="D6" s="38">
        <f t="shared" si="0"/>
        <v>1</v>
      </c>
      <c r="E6" s="38">
        <f t="shared" si="0"/>
        <v>0</v>
      </c>
      <c r="F6" s="38">
        <f t="shared" si="0"/>
        <v>0</v>
      </c>
      <c r="G6" s="38">
        <f t="shared" si="0"/>
        <v>0</v>
      </c>
      <c r="H6" s="38">
        <f t="shared" si="0"/>
        <v>0</v>
      </c>
      <c r="I6" s="38">
        <f t="shared" si="0"/>
        <v>0</v>
      </c>
      <c r="J6" s="38">
        <f t="shared" si="0"/>
        <v>0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0</v>
      </c>
      <c r="P6" s="38">
        <f t="shared" si="0"/>
        <v>2</v>
      </c>
      <c r="Q6" s="38">
        <f t="shared" si="0"/>
        <v>0</v>
      </c>
      <c r="R6" s="38">
        <f t="shared" si="0"/>
        <v>0</v>
      </c>
      <c r="S6" s="38">
        <f t="shared" ref="S6:AC6" si="1">SUM(S11,S14,S17,S20,S23,S26,S29,S32,S35,S38,S41,S44,S47,S50,S53,S56,S59,S62,S65,S68,S71,S74,S77,S80,S83,S86,S89,S92,S95,S98,S101)</f>
        <v>0</v>
      </c>
      <c r="T6" s="38">
        <f t="shared" si="1"/>
        <v>0</v>
      </c>
      <c r="U6" s="38">
        <f t="shared" si="1"/>
        <v>0</v>
      </c>
      <c r="V6" s="38">
        <f t="shared" si="1"/>
        <v>8</v>
      </c>
      <c r="W6" s="38">
        <f t="shared" si="1"/>
        <v>0</v>
      </c>
      <c r="X6" s="38">
        <f t="shared" si="1"/>
        <v>1</v>
      </c>
      <c r="Y6" s="38">
        <f t="shared" si="1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8">
        <f t="shared" si="1"/>
        <v>0</v>
      </c>
      <c r="AD6" s="5">
        <f>SUM(C6:AC6)</f>
        <v>12</v>
      </c>
      <c r="AE6" s="5">
        <f>SUM(J6:U6)</f>
        <v>2</v>
      </c>
      <c r="AF6" s="78">
        <f>(AE6+AE7+AE8)/(AD6+AD7+AD8-Z9)*100</f>
        <v>16.666666666666664</v>
      </c>
    </row>
    <row r="7" spans="1:32" ht="22.5" customHeight="1">
      <c r="A7" s="95"/>
      <c r="B7" s="4" t="s">
        <v>42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 t="shared" si="0"/>
        <v>0</v>
      </c>
      <c r="O7" s="4">
        <f t="shared" si="0"/>
        <v>0</v>
      </c>
      <c r="P7" s="4">
        <f t="shared" si="0"/>
        <v>0</v>
      </c>
      <c r="Q7" s="4">
        <f t="shared" si="0"/>
        <v>0</v>
      </c>
      <c r="R7" s="4">
        <f t="shared" si="0"/>
        <v>0</v>
      </c>
      <c r="S7" s="4">
        <f t="shared" ref="S7:AC8" si="2">SUM(S12,S15,S18,S21,S24,S27,S30,S33,S36,S39,S42,S45,S48,S51,S54,S57,S60,S63,S66,S69,S72,S75,S78,S81,S84,S87,S90,S93,S96,S99,S102)</f>
        <v>0</v>
      </c>
      <c r="T7" s="4">
        <f t="shared" si="2"/>
        <v>0</v>
      </c>
      <c r="U7" s="4">
        <f t="shared" si="2"/>
        <v>0</v>
      </c>
      <c r="V7" s="4">
        <f t="shared" si="2"/>
        <v>0</v>
      </c>
      <c r="W7" s="4">
        <f t="shared" si="2"/>
        <v>0</v>
      </c>
      <c r="X7" s="4">
        <f t="shared" si="2"/>
        <v>0</v>
      </c>
      <c r="Y7" s="4">
        <f t="shared" si="2"/>
        <v>0</v>
      </c>
      <c r="Z7" s="51">
        <f t="shared" si="2"/>
        <v>0</v>
      </c>
      <c r="AA7" s="51">
        <f t="shared" si="2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2"/>
        <v>0</v>
      </c>
      <c r="AD7" s="4">
        <f t="shared" ref="AD7:AD8" si="3">SUM(C7:AC7)</f>
        <v>0</v>
      </c>
      <c r="AE7" s="4">
        <f t="shared" ref="AE7:AE8" si="4">SUM(J7:U7)</f>
        <v>0</v>
      </c>
      <c r="AF7" s="78"/>
    </row>
    <row r="8" spans="1:32" ht="22.5" customHeight="1" thickBot="1">
      <c r="A8" s="96"/>
      <c r="B8" s="7" t="s">
        <v>43</v>
      </c>
      <c r="C8" s="37">
        <f>SUM(C13,C16,C19,C22,C25,C28,C31,C34,C37,C40,C43,C46,C49,C52,C55,C58,C61,C64,C67,C70,C73,C76,C79,C82,C85,C88,C91,C94,C97,C100,C103)</f>
        <v>0</v>
      </c>
      <c r="D8" s="37">
        <f t="shared" ref="D8:AC8" si="5">SUM(D13,D16,D19,D22,D25,D28,D31,D34,D37,D40,D43,D46,D49,D52,D55,D58,D61,D64,D67,D70,D73,D76,D79,D82,D85,D88,D91,D94,D97,D100,D103)</f>
        <v>0</v>
      </c>
      <c r="E8" s="37">
        <f t="shared" si="5"/>
        <v>0</v>
      </c>
      <c r="F8" s="37">
        <f t="shared" si="5"/>
        <v>0</v>
      </c>
      <c r="G8" s="37">
        <f t="shared" si="5"/>
        <v>0</v>
      </c>
      <c r="H8" s="37">
        <f t="shared" si="5"/>
        <v>0</v>
      </c>
      <c r="I8" s="37">
        <f t="shared" si="5"/>
        <v>0</v>
      </c>
      <c r="J8" s="37">
        <f t="shared" si="5"/>
        <v>0</v>
      </c>
      <c r="K8" s="37">
        <f t="shared" si="5"/>
        <v>0</v>
      </c>
      <c r="L8" s="37">
        <f t="shared" si="5"/>
        <v>0</v>
      </c>
      <c r="M8" s="37">
        <f t="shared" si="5"/>
        <v>0</v>
      </c>
      <c r="N8" s="37">
        <f t="shared" si="5"/>
        <v>0</v>
      </c>
      <c r="O8" s="37">
        <f t="shared" si="5"/>
        <v>0</v>
      </c>
      <c r="P8" s="37">
        <f t="shared" si="5"/>
        <v>0</v>
      </c>
      <c r="Q8" s="37">
        <f t="shared" si="5"/>
        <v>0</v>
      </c>
      <c r="R8" s="37">
        <f t="shared" si="5"/>
        <v>0</v>
      </c>
      <c r="S8" s="37">
        <f t="shared" si="5"/>
        <v>0</v>
      </c>
      <c r="T8" s="37">
        <f t="shared" si="5"/>
        <v>0</v>
      </c>
      <c r="U8" s="37">
        <f t="shared" si="5"/>
        <v>0</v>
      </c>
      <c r="V8" s="37">
        <f t="shared" si="5"/>
        <v>0</v>
      </c>
      <c r="W8" s="37">
        <f t="shared" si="5"/>
        <v>0</v>
      </c>
      <c r="X8" s="37">
        <f t="shared" si="5"/>
        <v>0</v>
      </c>
      <c r="Y8" s="37">
        <f t="shared" si="5"/>
        <v>0</v>
      </c>
      <c r="Z8" s="52">
        <f t="shared" si="2"/>
        <v>1</v>
      </c>
      <c r="AA8" s="52">
        <f t="shared" si="2"/>
        <v>0</v>
      </c>
      <c r="AB8" s="52">
        <f>SUM(AB13,AB16,AB19,AB22,AB25,AB28,AB31,AB34,AB37,AB40,AB43,AB46,AB49,AB52,AB55,AB58,AB61,AB64,AB67,AB70,AB73,AB76,AB79,AB82,AB85,AB88,AB91,AB94,AB97,AB100,AB103)</f>
        <v>1</v>
      </c>
      <c r="AC8" s="37">
        <f t="shared" si="5"/>
        <v>0</v>
      </c>
      <c r="AD8" s="7">
        <f t="shared" si="3"/>
        <v>2</v>
      </c>
      <c r="AE8" s="7">
        <f t="shared" si="4"/>
        <v>0</v>
      </c>
      <c r="AF8" s="78"/>
    </row>
    <row r="9" spans="1:32" ht="15.5" thickTop="1" thickBot="1">
      <c r="Z9" s="83">
        <f>SUM(Z6:AB8)</f>
        <v>2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32"/>
      <c r="AD11" s="40">
        <f>SUM(C11:AC11)</f>
        <v>0</v>
      </c>
      <c r="AE11" s="31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6">SUM(C12:AC12)</f>
        <v>0</v>
      </c>
      <c r="AE12" s="31">
        <f t="shared" ref="AE12:AE75" si="7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6"/>
        <v>0</v>
      </c>
      <c r="AE13" s="31">
        <f t="shared" si="7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32"/>
      <c r="AD14" s="40">
        <f t="shared" si="6"/>
        <v>0</v>
      </c>
      <c r="AE14" s="31">
        <f t="shared" si="7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6"/>
        <v>0</v>
      </c>
      <c r="AE15" s="31">
        <f t="shared" si="7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6"/>
        <v>0</v>
      </c>
      <c r="AE16" s="31">
        <f t="shared" si="7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32"/>
      <c r="AD17" s="40">
        <f t="shared" si="6"/>
        <v>0</v>
      </c>
      <c r="AE17" s="31">
        <f t="shared" si="7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6"/>
        <v>0</v>
      </c>
      <c r="AE18" s="31">
        <f t="shared" si="7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6"/>
        <v>0</v>
      </c>
      <c r="AE19" s="31">
        <f t="shared" si="7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>
        <v>1</v>
      </c>
      <c r="W20" s="5"/>
      <c r="X20" s="5"/>
      <c r="Y20" s="5"/>
      <c r="Z20" s="5"/>
      <c r="AA20" s="5"/>
      <c r="AB20" s="5"/>
      <c r="AC20" s="32"/>
      <c r="AD20" s="40">
        <f t="shared" si="6"/>
        <v>1</v>
      </c>
      <c r="AE20" s="31">
        <f t="shared" si="7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6"/>
        <v>0</v>
      </c>
      <c r="AE21" s="31">
        <f t="shared" si="7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>
        <v>1</v>
      </c>
      <c r="AA22" s="7"/>
      <c r="AB22" s="7">
        <v>1</v>
      </c>
      <c r="AC22" s="34"/>
      <c r="AD22" s="40">
        <f t="shared" si="6"/>
        <v>2</v>
      </c>
      <c r="AE22" s="31">
        <f t="shared" si="7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6"/>
        <v>0</v>
      </c>
      <c r="AE23" s="31">
        <f t="shared" si="7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6"/>
        <v>0</v>
      </c>
      <c r="AE24" s="31">
        <f t="shared" si="7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6"/>
        <v>0</v>
      </c>
      <c r="AE25" s="31">
        <f t="shared" si="7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6"/>
        <v>0</v>
      </c>
      <c r="AE26" s="31">
        <f t="shared" si="7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6"/>
        <v>0</v>
      </c>
      <c r="AE27" s="31">
        <f t="shared" si="7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6"/>
        <v>0</v>
      </c>
      <c r="AE28" s="31">
        <f t="shared" si="7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32"/>
      <c r="AD29" s="40">
        <f t="shared" si="6"/>
        <v>0</v>
      </c>
      <c r="AE29" s="31">
        <f t="shared" si="7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6"/>
        <v>0</v>
      </c>
      <c r="AE30" s="31">
        <f t="shared" si="7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6"/>
        <v>0</v>
      </c>
      <c r="AE31" s="31">
        <f t="shared" si="7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>
        <v>3</v>
      </c>
      <c r="W32" s="5"/>
      <c r="X32" s="5">
        <v>1</v>
      </c>
      <c r="Y32" s="5"/>
      <c r="Z32" s="5"/>
      <c r="AA32" s="5"/>
      <c r="AB32" s="5"/>
      <c r="AC32" s="32"/>
      <c r="AD32" s="40">
        <f t="shared" si="6"/>
        <v>4</v>
      </c>
      <c r="AE32" s="31">
        <f t="shared" si="7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6"/>
        <v>0</v>
      </c>
      <c r="AE33" s="31">
        <f t="shared" si="7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6"/>
        <v>0</v>
      </c>
      <c r="AE34" s="31">
        <f t="shared" si="7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2"/>
      <c r="AD35" s="40">
        <f t="shared" si="6"/>
        <v>0</v>
      </c>
      <c r="AE35" s="31">
        <f t="shared" si="7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6"/>
        <v>0</v>
      </c>
      <c r="AE36" s="31">
        <f t="shared" si="7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6"/>
        <v>0</v>
      </c>
      <c r="AE37" s="31">
        <f t="shared" si="7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32"/>
      <c r="AD38" s="40">
        <f t="shared" si="6"/>
        <v>0</v>
      </c>
      <c r="AE38" s="31">
        <f t="shared" si="7"/>
        <v>0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6"/>
        <v>0</v>
      </c>
      <c r="AE39" s="31">
        <f t="shared" si="7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6"/>
        <v>0</v>
      </c>
      <c r="AE40" s="31">
        <f t="shared" si="7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32"/>
      <c r="AD41" s="40">
        <f t="shared" si="6"/>
        <v>0</v>
      </c>
      <c r="AE41" s="31">
        <f t="shared" si="7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6"/>
        <v>0</v>
      </c>
      <c r="AE42" s="31">
        <f t="shared" si="7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6"/>
        <v>0</v>
      </c>
      <c r="AE43" s="31">
        <f t="shared" si="7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32"/>
      <c r="AD44" s="40">
        <f t="shared" si="6"/>
        <v>0</v>
      </c>
      <c r="AE44" s="31">
        <f t="shared" si="7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6"/>
        <v>0</v>
      </c>
      <c r="AE45" s="31">
        <f t="shared" si="7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6"/>
        <v>0</v>
      </c>
      <c r="AE46" s="31">
        <f t="shared" si="7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6"/>
        <v>0</v>
      </c>
      <c r="AE47" s="31">
        <f t="shared" si="7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6"/>
        <v>0</v>
      </c>
      <c r="AE48" s="31">
        <f t="shared" si="7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6"/>
        <v>0</v>
      </c>
      <c r="AE49" s="31">
        <f t="shared" si="7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6"/>
        <v>0</v>
      </c>
      <c r="AE50" s="31">
        <f t="shared" si="7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6"/>
        <v>0</v>
      </c>
      <c r="AE51" s="31">
        <f t="shared" si="7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6"/>
        <v>0</v>
      </c>
      <c r="AE52" s="31">
        <f t="shared" si="7"/>
        <v>0</v>
      </c>
    </row>
    <row r="53" spans="1:31" ht="15" thickTop="1">
      <c r="A53" s="63">
        <v>15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32"/>
      <c r="AD53" s="40">
        <f t="shared" si="6"/>
        <v>0</v>
      </c>
      <c r="AE53" s="31">
        <f t="shared" si="7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6"/>
        <v>0</v>
      </c>
      <c r="AE54" s="31">
        <f t="shared" si="7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6"/>
        <v>0</v>
      </c>
      <c r="AE55" s="31">
        <f t="shared" si="7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32"/>
      <c r="AD56" s="40">
        <f t="shared" si="6"/>
        <v>0</v>
      </c>
      <c r="AE56" s="31">
        <f t="shared" si="7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6"/>
        <v>0</v>
      </c>
      <c r="AE57" s="31">
        <f t="shared" si="7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6"/>
        <v>0</v>
      </c>
      <c r="AE58" s="31">
        <f t="shared" si="7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32"/>
      <c r="AD59" s="40">
        <f t="shared" si="6"/>
        <v>0</v>
      </c>
      <c r="AE59" s="31">
        <f t="shared" si="7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6"/>
        <v>0</v>
      </c>
      <c r="AE60" s="31">
        <f t="shared" si="7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6"/>
        <v>0</v>
      </c>
      <c r="AE61" s="31">
        <f t="shared" si="7"/>
        <v>0</v>
      </c>
    </row>
    <row r="62" spans="1:31" ht="15" thickTop="1">
      <c r="A62" s="63">
        <v>18</v>
      </c>
      <c r="C62" s="2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6"/>
        <v>0</v>
      </c>
      <c r="AE62" s="31">
        <f t="shared" si="7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6"/>
        <v>0</v>
      </c>
      <c r="AE63" s="31">
        <f t="shared" si="7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6"/>
        <v>0</v>
      </c>
      <c r="AE64" s="31">
        <f t="shared" si="7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6"/>
        <v>0</v>
      </c>
      <c r="AE65" s="31">
        <f t="shared" si="7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6"/>
        <v>0</v>
      </c>
      <c r="AE66" s="31">
        <f t="shared" si="7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6"/>
        <v>0</v>
      </c>
      <c r="AE67" s="31">
        <f t="shared" si="7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6"/>
        <v>0</v>
      </c>
      <c r="AE68" s="31">
        <f t="shared" si="7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6"/>
        <v>0</v>
      </c>
      <c r="AE69" s="31">
        <f t="shared" si="7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6"/>
        <v>0</v>
      </c>
      <c r="AE70" s="31">
        <f t="shared" si="7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6"/>
        <v>0</v>
      </c>
      <c r="AE71" s="31">
        <f t="shared" si="7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6"/>
        <v>0</v>
      </c>
      <c r="AE72" s="31">
        <f t="shared" si="7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6"/>
        <v>0</v>
      </c>
      <c r="AE73" s="31">
        <f t="shared" si="7"/>
        <v>0</v>
      </c>
    </row>
    <row r="74" spans="1:31" ht="15" thickTop="1">
      <c r="A74" s="63">
        <v>22</v>
      </c>
      <c r="C74" s="2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32"/>
      <c r="AD74" s="40">
        <f t="shared" si="6"/>
        <v>0</v>
      </c>
      <c r="AE74" s="31">
        <f t="shared" si="7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6"/>
        <v>0</v>
      </c>
      <c r="AE75" s="31">
        <f t="shared" si="7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8">SUM(C76:AC76)</f>
        <v>0</v>
      </c>
      <c r="AE76" s="31">
        <f t="shared" ref="AE76:AE103" si="9">SUM(J76:U76)</f>
        <v>0</v>
      </c>
    </row>
    <row r="77" spans="1:31" ht="15" thickTop="1">
      <c r="A77" s="63">
        <v>23</v>
      </c>
      <c r="C77" s="2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32"/>
      <c r="AD77" s="40">
        <f t="shared" si="8"/>
        <v>0</v>
      </c>
      <c r="AE77" s="31">
        <f t="shared" si="9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8"/>
        <v>0</v>
      </c>
      <c r="AE78" s="31">
        <f t="shared" si="9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8"/>
        <v>0</v>
      </c>
      <c r="AE79" s="31">
        <f t="shared" si="9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32"/>
      <c r="AD80" s="40">
        <f t="shared" si="8"/>
        <v>0</v>
      </c>
      <c r="AE80" s="31">
        <f t="shared" si="9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8"/>
        <v>0</v>
      </c>
      <c r="AE81" s="31">
        <f t="shared" si="9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8"/>
        <v>0</v>
      </c>
      <c r="AE82" s="31">
        <f t="shared" si="9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32"/>
      <c r="AD83" s="40">
        <f t="shared" si="8"/>
        <v>0</v>
      </c>
      <c r="AE83" s="31">
        <f t="shared" si="9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8"/>
        <v>0</v>
      </c>
      <c r="AE84" s="31">
        <f t="shared" si="9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8"/>
        <v>0</v>
      </c>
      <c r="AE85" s="31">
        <f t="shared" si="9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8"/>
        <v>0</v>
      </c>
      <c r="AE86" s="31">
        <f t="shared" si="9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8"/>
        <v>0</v>
      </c>
      <c r="AE87" s="31">
        <f t="shared" si="9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8"/>
        <v>0</v>
      </c>
      <c r="AE88" s="31">
        <f t="shared" si="9"/>
        <v>0</v>
      </c>
    </row>
    <row r="89" spans="1:31" ht="15" thickTop="1">
      <c r="A89" s="63">
        <v>27</v>
      </c>
      <c r="C89" s="28"/>
      <c r="D89" s="5">
        <v>1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1</v>
      </c>
      <c r="Q89" s="5"/>
      <c r="R89" s="5"/>
      <c r="S89" s="5"/>
      <c r="T89" s="5"/>
      <c r="U89" s="5"/>
      <c r="V89" s="5">
        <v>3</v>
      </c>
      <c r="W89" s="5"/>
      <c r="X89" s="5"/>
      <c r="Y89" s="5"/>
      <c r="Z89" s="5"/>
      <c r="AA89" s="5"/>
      <c r="AB89" s="5"/>
      <c r="AC89" s="32"/>
      <c r="AD89" s="40">
        <f t="shared" si="8"/>
        <v>5</v>
      </c>
      <c r="AE89" s="31">
        <f t="shared" si="9"/>
        <v>1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8"/>
        <v>0</v>
      </c>
      <c r="AE90" s="31">
        <f t="shared" si="9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34"/>
      <c r="AD91" s="40">
        <f t="shared" si="8"/>
        <v>0</v>
      </c>
      <c r="AE91" s="31">
        <f t="shared" si="9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32"/>
      <c r="AD92" s="40">
        <f t="shared" si="8"/>
        <v>0</v>
      </c>
      <c r="AE92" s="31">
        <f t="shared" si="9"/>
        <v>0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8"/>
        <v>0</v>
      </c>
      <c r="AE93" s="31">
        <f t="shared" si="9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8"/>
        <v>0</v>
      </c>
      <c r="AE94" s="31">
        <f t="shared" si="9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8"/>
        <v>0</v>
      </c>
      <c r="AE95" s="31">
        <f t="shared" si="9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8"/>
        <v>0</v>
      </c>
      <c r="AE96" s="31">
        <f t="shared" si="9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8"/>
        <v>0</v>
      </c>
      <c r="AE97" s="31">
        <f t="shared" si="9"/>
        <v>0</v>
      </c>
    </row>
    <row r="98" spans="1:31" ht="15" thickTop="1">
      <c r="A98" s="63">
        <v>30</v>
      </c>
      <c r="C98" s="28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>
        <v>1</v>
      </c>
      <c r="Q98" s="5"/>
      <c r="R98" s="5"/>
      <c r="S98" s="5"/>
      <c r="T98" s="5"/>
      <c r="U98" s="5"/>
      <c r="V98" s="5">
        <v>1</v>
      </c>
      <c r="W98" s="5"/>
      <c r="X98" s="5"/>
      <c r="Y98" s="5"/>
      <c r="Z98" s="5"/>
      <c r="AA98" s="5"/>
      <c r="AB98" s="5"/>
      <c r="AC98" s="32"/>
      <c r="AD98" s="40">
        <f t="shared" si="8"/>
        <v>2</v>
      </c>
      <c r="AE98" s="31">
        <f t="shared" si="9"/>
        <v>1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8"/>
        <v>0</v>
      </c>
      <c r="AE99" s="31">
        <f t="shared" si="9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8"/>
        <v>0</v>
      </c>
      <c r="AE100" s="31">
        <f t="shared" si="9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8"/>
        <v>0</v>
      </c>
      <c r="AE101" s="31">
        <f t="shared" si="9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8"/>
        <v>0</v>
      </c>
      <c r="AE102" s="31">
        <f t="shared" si="9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8"/>
        <v>0</v>
      </c>
      <c r="AE103" s="31">
        <f t="shared" si="9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5" priority="1">
      <formula>OR(CELL("col")=COLUMN(),CELL("row")=ROW())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AB2E8-AA90-4B07-8A30-E28F06BBB5B7}">
  <sheetPr codeName="Sheet20"/>
  <dimension ref="A1:AF104"/>
  <sheetViews>
    <sheetView rightToLeft="1" zoomScale="60" zoomScaleNormal="60" workbookViewId="0">
      <pane xSplit="1" ySplit="9" topLeftCell="B64" activePane="bottomRight" state="frozen"/>
      <selection pane="topRight" activeCell="B1" sqref="B1"/>
      <selection pane="bottomLeft" activeCell="A10" sqref="A10"/>
      <selection pane="bottomRight" activeCell="F74" sqref="F74"/>
    </sheetView>
  </sheetViews>
  <sheetFormatPr defaultRowHeight="14.5"/>
  <cols>
    <col min="1" max="1" width="21.4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62</v>
      </c>
      <c r="B6" s="5" t="s">
        <v>41</v>
      </c>
      <c r="C6" s="38">
        <f t="shared" ref="C6:R7" si="0">SUM(C11,C14,C17,C20,C23,C26,C29,C32,C35,C38,C41,C44,C47,C50,C53,C56,C59,C62,C65,C68,C71,C74,C77,C80,C83,C86,C89,C92,C95,C98,C101)</f>
        <v>0</v>
      </c>
      <c r="D6" s="38">
        <f t="shared" si="0"/>
        <v>5</v>
      </c>
      <c r="E6" s="38">
        <f t="shared" si="0"/>
        <v>0</v>
      </c>
      <c r="F6" s="38">
        <f t="shared" si="0"/>
        <v>0</v>
      </c>
      <c r="G6" s="38">
        <f t="shared" si="0"/>
        <v>0</v>
      </c>
      <c r="H6" s="38">
        <f t="shared" si="0"/>
        <v>1</v>
      </c>
      <c r="I6" s="38">
        <f t="shared" si="0"/>
        <v>0</v>
      </c>
      <c r="J6" s="38">
        <f t="shared" si="0"/>
        <v>0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0</v>
      </c>
      <c r="P6" s="38">
        <f t="shared" si="0"/>
        <v>0</v>
      </c>
      <c r="Q6" s="38">
        <f t="shared" si="0"/>
        <v>0</v>
      </c>
      <c r="R6" s="38">
        <f t="shared" si="0"/>
        <v>0</v>
      </c>
      <c r="S6" s="38">
        <f t="shared" ref="S6:AC6" si="1">SUM(S11,S14,S17,S20,S23,S26,S29,S32,S35,S38,S41,S44,S47,S50,S53,S56,S59,S62,S65,S68,S71,S74,S77,S80,S83,S86,S89,S92,S95,S98,S101)</f>
        <v>0</v>
      </c>
      <c r="T6" s="38">
        <f t="shared" si="1"/>
        <v>0</v>
      </c>
      <c r="U6" s="38">
        <f t="shared" si="1"/>
        <v>0</v>
      </c>
      <c r="V6" s="38">
        <f t="shared" si="1"/>
        <v>12</v>
      </c>
      <c r="W6" s="38">
        <f t="shared" si="1"/>
        <v>2</v>
      </c>
      <c r="X6" s="38">
        <f t="shared" si="1"/>
        <v>1</v>
      </c>
      <c r="Y6" s="38">
        <f t="shared" si="1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8">
        <f t="shared" si="1"/>
        <v>0</v>
      </c>
      <c r="AD6" s="5">
        <f>SUM(C6:AC6)</f>
        <v>21</v>
      </c>
      <c r="AE6" s="5">
        <f>SUM(J6:U6)</f>
        <v>0</v>
      </c>
      <c r="AF6" s="78">
        <f>(AE6+AE7+AE8)/(AD6+AD7+AD8-Z9)*100</f>
        <v>0</v>
      </c>
    </row>
    <row r="7" spans="1:32" ht="22.5" customHeight="1">
      <c r="A7" s="95"/>
      <c r="B7" s="4" t="s">
        <v>42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 t="shared" si="0"/>
        <v>0</v>
      </c>
      <c r="O7" s="4">
        <f t="shared" si="0"/>
        <v>0</v>
      </c>
      <c r="P7" s="4">
        <f t="shared" si="0"/>
        <v>0</v>
      </c>
      <c r="Q7" s="4">
        <f t="shared" si="0"/>
        <v>0</v>
      </c>
      <c r="R7" s="4">
        <f t="shared" si="0"/>
        <v>0</v>
      </c>
      <c r="S7" s="4">
        <f t="shared" ref="S7:AC8" si="2">SUM(S12,S15,S18,S21,S24,S27,S30,S33,S36,S39,S42,S45,S48,S51,S54,S57,S60,S63,S66,S69,S72,S75,S78,S81,S84,S87,S90,S93,S96,S99,S102)</f>
        <v>0</v>
      </c>
      <c r="T7" s="4">
        <f t="shared" si="2"/>
        <v>0</v>
      </c>
      <c r="U7" s="4">
        <f t="shared" si="2"/>
        <v>0</v>
      </c>
      <c r="V7" s="4">
        <f t="shared" si="2"/>
        <v>0</v>
      </c>
      <c r="W7" s="4">
        <f t="shared" si="2"/>
        <v>0</v>
      </c>
      <c r="X7" s="4">
        <f t="shared" si="2"/>
        <v>0</v>
      </c>
      <c r="Y7" s="4">
        <f t="shared" si="2"/>
        <v>0</v>
      </c>
      <c r="Z7" s="51">
        <f t="shared" si="2"/>
        <v>0</v>
      </c>
      <c r="AA7" s="51">
        <f t="shared" si="2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2"/>
        <v>0</v>
      </c>
      <c r="AD7" s="4">
        <f t="shared" ref="AD7:AD8" si="3">SUM(C7:AC7)</f>
        <v>0</v>
      </c>
      <c r="AE7" s="4">
        <f t="shared" ref="AE7:AE8" si="4">SUM(J7:U7)</f>
        <v>0</v>
      </c>
      <c r="AF7" s="78"/>
    </row>
    <row r="8" spans="1:32" ht="22.5" customHeight="1" thickBot="1">
      <c r="A8" s="96"/>
      <c r="B8" s="7" t="s">
        <v>43</v>
      </c>
      <c r="C8" s="37">
        <f>SUM(C13,C16,C19,C22,C25,C28,C31,C34,C37,C40,C43,C46,C49,C52,C55,C58,C61,C64,C67,C70,C73,C76,C79,C82,C85,C88,C91,C94,C97,C100,C103)</f>
        <v>0</v>
      </c>
      <c r="D8" s="37">
        <f t="shared" ref="D8:AC8" si="5">SUM(D13,D16,D19,D22,D25,D28,D31,D34,D37,D40,D43,D46,D49,D52,D55,D58,D61,D64,D67,D70,D73,D76,D79,D82,D85,D88,D91,D94,D97,D100,D103)</f>
        <v>0</v>
      </c>
      <c r="E8" s="37">
        <f t="shared" si="5"/>
        <v>0</v>
      </c>
      <c r="F8" s="37">
        <f t="shared" si="5"/>
        <v>0</v>
      </c>
      <c r="G8" s="37">
        <f t="shared" si="5"/>
        <v>0</v>
      </c>
      <c r="H8" s="37">
        <f t="shared" si="5"/>
        <v>0</v>
      </c>
      <c r="I8" s="37">
        <f t="shared" si="5"/>
        <v>0</v>
      </c>
      <c r="J8" s="37">
        <f t="shared" si="5"/>
        <v>0</v>
      </c>
      <c r="K8" s="37">
        <f t="shared" si="5"/>
        <v>0</v>
      </c>
      <c r="L8" s="37">
        <f t="shared" si="5"/>
        <v>0</v>
      </c>
      <c r="M8" s="37">
        <f t="shared" si="5"/>
        <v>0</v>
      </c>
      <c r="N8" s="37">
        <f t="shared" si="5"/>
        <v>0</v>
      </c>
      <c r="O8" s="37">
        <f t="shared" si="5"/>
        <v>0</v>
      </c>
      <c r="P8" s="37">
        <f t="shared" si="5"/>
        <v>0</v>
      </c>
      <c r="Q8" s="37">
        <f t="shared" si="5"/>
        <v>0</v>
      </c>
      <c r="R8" s="37">
        <f t="shared" si="5"/>
        <v>0</v>
      </c>
      <c r="S8" s="37">
        <f t="shared" si="5"/>
        <v>0</v>
      </c>
      <c r="T8" s="37">
        <f t="shared" si="5"/>
        <v>0</v>
      </c>
      <c r="U8" s="37">
        <f t="shared" si="5"/>
        <v>0</v>
      </c>
      <c r="V8" s="37">
        <f t="shared" si="5"/>
        <v>0</v>
      </c>
      <c r="W8" s="37">
        <f t="shared" si="5"/>
        <v>0</v>
      </c>
      <c r="X8" s="37">
        <f t="shared" si="5"/>
        <v>0</v>
      </c>
      <c r="Y8" s="37">
        <f t="shared" si="5"/>
        <v>0</v>
      </c>
      <c r="Z8" s="52">
        <f t="shared" si="2"/>
        <v>0</v>
      </c>
      <c r="AA8" s="52">
        <f t="shared" si="2"/>
        <v>0</v>
      </c>
      <c r="AB8" s="52">
        <f>SUM(AB13,AB16,AB19,AB22,AB25,AB28,AB31,AB34,AB37,AB40,AB43,AB46,AB49,AB52,AB55,AB58,AB61,AB64,AB67,AB70,AB73,AB76,AB79,AB82,AB85,AB88,AB91,AB94,AB97,AB100,AB103)</f>
        <v>0</v>
      </c>
      <c r="AC8" s="37">
        <f t="shared" si="5"/>
        <v>0</v>
      </c>
      <c r="AD8" s="7">
        <f t="shared" si="3"/>
        <v>0</v>
      </c>
      <c r="AE8" s="7">
        <f t="shared" si="4"/>
        <v>0</v>
      </c>
      <c r="AF8" s="78"/>
    </row>
    <row r="9" spans="1:32" ht="15.5" thickTop="1" thickBot="1">
      <c r="Z9" s="83">
        <f>SUM(Z6:AB8)</f>
        <v>0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>
        <v>1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>
        <v>3</v>
      </c>
      <c r="W11" s="5"/>
      <c r="X11" s="5">
        <v>1</v>
      </c>
      <c r="Y11" s="5"/>
      <c r="Z11" s="5"/>
      <c r="AA11" s="5"/>
      <c r="AB11" s="5"/>
      <c r="AC11" s="32"/>
      <c r="AD11" s="40">
        <f>SUM(C11:AC11)</f>
        <v>5</v>
      </c>
      <c r="AE11" s="31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6">SUM(C12:AC12)</f>
        <v>0</v>
      </c>
      <c r="AE12" s="31">
        <f t="shared" ref="AE12:AE75" si="7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6"/>
        <v>0</v>
      </c>
      <c r="AE13" s="31">
        <f t="shared" si="7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32"/>
      <c r="AD14" s="40">
        <f t="shared" si="6"/>
        <v>0</v>
      </c>
      <c r="AE14" s="31">
        <f t="shared" si="7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6"/>
        <v>0</v>
      </c>
      <c r="AE15" s="31">
        <f t="shared" si="7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6"/>
        <v>0</v>
      </c>
      <c r="AE16" s="31">
        <f t="shared" si="7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32"/>
      <c r="AD17" s="40">
        <f t="shared" si="6"/>
        <v>0</v>
      </c>
      <c r="AE17" s="31">
        <f t="shared" si="7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6"/>
        <v>0</v>
      </c>
      <c r="AE18" s="31">
        <f t="shared" si="7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6"/>
        <v>0</v>
      </c>
      <c r="AE19" s="31">
        <f t="shared" si="7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32"/>
      <c r="AD20" s="40">
        <f t="shared" si="6"/>
        <v>0</v>
      </c>
      <c r="AE20" s="31">
        <f t="shared" si="7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6"/>
        <v>0</v>
      </c>
      <c r="AE21" s="31">
        <f t="shared" si="7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6"/>
        <v>0</v>
      </c>
      <c r="AE22" s="31">
        <f t="shared" si="7"/>
        <v>0</v>
      </c>
    </row>
    <row r="23" spans="1:31" ht="15" thickTop="1">
      <c r="A23" s="63">
        <v>5</v>
      </c>
      <c r="C23" s="5"/>
      <c r="D23" s="5">
        <v>1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>
        <v>4</v>
      </c>
      <c r="W23" s="5"/>
      <c r="X23" s="5"/>
      <c r="Y23" s="5"/>
      <c r="Z23" s="5"/>
      <c r="AA23" s="5"/>
      <c r="AB23" s="5"/>
      <c r="AC23" s="32"/>
      <c r="AD23" s="40">
        <f t="shared" si="6"/>
        <v>5</v>
      </c>
      <c r="AE23" s="31">
        <f t="shared" si="7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6"/>
        <v>0</v>
      </c>
      <c r="AE24" s="31">
        <f t="shared" si="7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6"/>
        <v>0</v>
      </c>
      <c r="AE25" s="31">
        <f t="shared" si="7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6"/>
        <v>0</v>
      </c>
      <c r="AE26" s="31">
        <f t="shared" si="7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6"/>
        <v>0</v>
      </c>
      <c r="AE27" s="31">
        <f t="shared" si="7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6"/>
        <v>0</v>
      </c>
      <c r="AE28" s="31">
        <f t="shared" si="7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32"/>
      <c r="AD29" s="40">
        <f t="shared" si="6"/>
        <v>0</v>
      </c>
      <c r="AE29" s="31">
        <f t="shared" si="7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6"/>
        <v>0</v>
      </c>
      <c r="AE30" s="31">
        <f t="shared" si="7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6"/>
        <v>0</v>
      </c>
      <c r="AE31" s="31">
        <f t="shared" si="7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32"/>
      <c r="AD32" s="40">
        <f t="shared" si="6"/>
        <v>0</v>
      </c>
      <c r="AE32" s="31">
        <f t="shared" si="7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6"/>
        <v>0</v>
      </c>
      <c r="AE33" s="31">
        <f t="shared" si="7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6"/>
        <v>0</v>
      </c>
      <c r="AE34" s="31">
        <f t="shared" si="7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2"/>
      <c r="AD35" s="40">
        <f t="shared" si="6"/>
        <v>0</v>
      </c>
      <c r="AE35" s="31">
        <f t="shared" si="7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6"/>
        <v>0</v>
      </c>
      <c r="AE36" s="31">
        <f t="shared" si="7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6"/>
        <v>0</v>
      </c>
      <c r="AE37" s="31">
        <f t="shared" si="7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32"/>
      <c r="AD38" s="40">
        <f t="shared" si="6"/>
        <v>0</v>
      </c>
      <c r="AE38" s="31">
        <f t="shared" si="7"/>
        <v>0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6"/>
        <v>0</v>
      </c>
      <c r="AE39" s="31">
        <f t="shared" si="7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6"/>
        <v>0</v>
      </c>
      <c r="AE40" s="31">
        <f t="shared" si="7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32"/>
      <c r="AD41" s="40">
        <f t="shared" si="6"/>
        <v>0</v>
      </c>
      <c r="AE41" s="31">
        <f t="shared" si="7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6"/>
        <v>0</v>
      </c>
      <c r="AE42" s="31">
        <f t="shared" si="7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6"/>
        <v>0</v>
      </c>
      <c r="AE43" s="31">
        <f t="shared" si="7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32"/>
      <c r="AD44" s="40">
        <f t="shared" si="6"/>
        <v>0</v>
      </c>
      <c r="AE44" s="31">
        <f t="shared" si="7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6"/>
        <v>0</v>
      </c>
      <c r="AE45" s="31">
        <f t="shared" si="7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6"/>
        <v>0</v>
      </c>
      <c r="AE46" s="31">
        <f t="shared" si="7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6"/>
        <v>0</v>
      </c>
      <c r="AE47" s="31">
        <f t="shared" si="7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6"/>
        <v>0</v>
      </c>
      <c r="AE48" s="31">
        <f t="shared" si="7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6"/>
        <v>0</v>
      </c>
      <c r="AE49" s="31">
        <f t="shared" si="7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6"/>
        <v>0</v>
      </c>
      <c r="AE50" s="31">
        <f t="shared" si="7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6"/>
        <v>0</v>
      </c>
      <c r="AE51" s="31">
        <f t="shared" si="7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6"/>
        <v>0</v>
      </c>
      <c r="AE52" s="31">
        <f t="shared" si="7"/>
        <v>0</v>
      </c>
    </row>
    <row r="53" spans="1:31" ht="15" thickTop="1">
      <c r="A53" s="63">
        <v>15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32"/>
      <c r="AD53" s="40">
        <f t="shared" si="6"/>
        <v>0</v>
      </c>
      <c r="AE53" s="31">
        <f t="shared" si="7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6"/>
        <v>0</v>
      </c>
      <c r="AE54" s="31">
        <f t="shared" si="7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6"/>
        <v>0</v>
      </c>
      <c r="AE55" s="31">
        <f t="shared" si="7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32"/>
      <c r="AD56" s="40">
        <f t="shared" si="6"/>
        <v>0</v>
      </c>
      <c r="AE56" s="31">
        <f t="shared" si="7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6"/>
        <v>0</v>
      </c>
      <c r="AE57" s="31">
        <f t="shared" si="7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6"/>
        <v>0</v>
      </c>
      <c r="AE58" s="31">
        <f t="shared" si="7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32"/>
      <c r="AD59" s="40">
        <f t="shared" si="6"/>
        <v>0</v>
      </c>
      <c r="AE59" s="31">
        <f t="shared" si="7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6"/>
        <v>0</v>
      </c>
      <c r="AE60" s="31">
        <f t="shared" si="7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6"/>
        <v>0</v>
      </c>
      <c r="AE61" s="31">
        <f t="shared" si="7"/>
        <v>0</v>
      </c>
    </row>
    <row r="62" spans="1:31" ht="15" thickTop="1">
      <c r="A62" s="63">
        <v>18</v>
      </c>
      <c r="C62" s="2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6"/>
        <v>0</v>
      </c>
      <c r="AE62" s="31">
        <f t="shared" si="7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6"/>
        <v>0</v>
      </c>
      <c r="AE63" s="31">
        <f t="shared" si="7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6"/>
        <v>0</v>
      </c>
      <c r="AE64" s="31">
        <f t="shared" si="7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6"/>
        <v>0</v>
      </c>
      <c r="AE65" s="31">
        <f t="shared" si="7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6"/>
        <v>0</v>
      </c>
      <c r="AE66" s="31">
        <f t="shared" si="7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6"/>
        <v>0</v>
      </c>
      <c r="AE67" s="31">
        <f t="shared" si="7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6"/>
        <v>0</v>
      </c>
      <c r="AE68" s="31">
        <f t="shared" si="7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6"/>
        <v>0</v>
      </c>
      <c r="AE69" s="31">
        <f t="shared" si="7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6"/>
        <v>0</v>
      </c>
      <c r="AE70" s="31">
        <f t="shared" si="7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6"/>
        <v>0</v>
      </c>
      <c r="AE71" s="31">
        <f t="shared" si="7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6"/>
        <v>0</v>
      </c>
      <c r="AE72" s="31">
        <f t="shared" si="7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6"/>
        <v>0</v>
      </c>
      <c r="AE73" s="31">
        <f t="shared" si="7"/>
        <v>0</v>
      </c>
    </row>
    <row r="74" spans="1:31" ht="15" thickTop="1">
      <c r="A74" s="63">
        <v>22</v>
      </c>
      <c r="C74" s="28"/>
      <c r="D74" s="5">
        <v>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>
        <v>1</v>
      </c>
      <c r="W74" s="5">
        <v>2</v>
      </c>
      <c r="X74" s="5"/>
      <c r="Y74" s="5"/>
      <c r="Z74" s="5"/>
      <c r="AA74" s="5"/>
      <c r="AB74" s="5"/>
      <c r="AC74" s="32"/>
      <c r="AD74" s="40">
        <f t="shared" si="6"/>
        <v>5</v>
      </c>
      <c r="AE74" s="31">
        <f t="shared" si="7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6"/>
        <v>0</v>
      </c>
      <c r="AE75" s="31">
        <f t="shared" si="7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8">SUM(C76:AC76)</f>
        <v>0</v>
      </c>
      <c r="AE76" s="31">
        <f t="shared" ref="AE76:AE103" si="9">SUM(J76:U76)</f>
        <v>0</v>
      </c>
    </row>
    <row r="77" spans="1:31" ht="15" thickTop="1">
      <c r="A77" s="63">
        <v>23</v>
      </c>
      <c r="C77" s="28"/>
      <c r="D77" s="5">
        <v>1</v>
      </c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>
        <v>2</v>
      </c>
      <c r="W77" s="5"/>
      <c r="X77" s="5"/>
      <c r="Y77" s="5"/>
      <c r="Z77" s="5"/>
      <c r="AA77" s="5"/>
      <c r="AB77" s="5"/>
      <c r="AC77" s="32"/>
      <c r="AD77" s="40">
        <f t="shared" si="8"/>
        <v>3</v>
      </c>
      <c r="AE77" s="31">
        <f t="shared" si="9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8"/>
        <v>0</v>
      </c>
      <c r="AE78" s="31">
        <f t="shared" si="9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8"/>
        <v>0</v>
      </c>
      <c r="AE79" s="31">
        <f t="shared" si="9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32"/>
      <c r="AD80" s="40">
        <f t="shared" si="8"/>
        <v>0</v>
      </c>
      <c r="AE80" s="31">
        <f t="shared" si="9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8"/>
        <v>0</v>
      </c>
      <c r="AE81" s="31">
        <f t="shared" si="9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8"/>
        <v>0</v>
      </c>
      <c r="AE82" s="31">
        <f t="shared" si="9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32"/>
      <c r="AD83" s="40">
        <f t="shared" si="8"/>
        <v>0</v>
      </c>
      <c r="AE83" s="31">
        <f t="shared" si="9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8"/>
        <v>0</v>
      </c>
      <c r="AE84" s="31">
        <f t="shared" si="9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8"/>
        <v>0</v>
      </c>
      <c r="AE85" s="31">
        <f t="shared" si="9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8"/>
        <v>0</v>
      </c>
      <c r="AE86" s="31">
        <f t="shared" si="9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8"/>
        <v>0</v>
      </c>
      <c r="AE87" s="31">
        <f t="shared" si="9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8"/>
        <v>0</v>
      </c>
      <c r="AE88" s="31">
        <f t="shared" si="9"/>
        <v>0</v>
      </c>
    </row>
    <row r="89" spans="1:31" ht="15" thickTop="1">
      <c r="A89" s="63">
        <v>27</v>
      </c>
      <c r="C89" s="2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32"/>
      <c r="AD89" s="40">
        <f t="shared" si="8"/>
        <v>0</v>
      </c>
      <c r="AE89" s="31">
        <f t="shared" si="9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8"/>
        <v>0</v>
      </c>
      <c r="AE90" s="31">
        <f t="shared" si="9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34"/>
      <c r="AD91" s="40">
        <f t="shared" si="8"/>
        <v>0</v>
      </c>
      <c r="AE91" s="31">
        <f t="shared" si="9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>
        <v>1</v>
      </c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>
        <v>2</v>
      </c>
      <c r="W92" s="5"/>
      <c r="X92" s="5"/>
      <c r="Y92" s="5"/>
      <c r="Z92" s="5"/>
      <c r="AA92" s="5"/>
      <c r="AB92" s="5"/>
      <c r="AC92" s="32"/>
      <c r="AD92" s="40">
        <f t="shared" si="8"/>
        <v>3</v>
      </c>
      <c r="AE92" s="31">
        <f t="shared" si="9"/>
        <v>0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8"/>
        <v>0</v>
      </c>
      <c r="AE93" s="31">
        <f t="shared" si="9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8"/>
        <v>0</v>
      </c>
      <c r="AE94" s="31">
        <f t="shared" si="9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8"/>
        <v>0</v>
      </c>
      <c r="AE95" s="31">
        <f t="shared" si="9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8"/>
        <v>0</v>
      </c>
      <c r="AE96" s="31">
        <f t="shared" si="9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8"/>
        <v>0</v>
      </c>
      <c r="AE97" s="31">
        <f t="shared" si="9"/>
        <v>0</v>
      </c>
    </row>
    <row r="98" spans="1:31" ht="15" thickTop="1">
      <c r="A98" s="63">
        <v>30</v>
      </c>
      <c r="C98" s="28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32"/>
      <c r="AD98" s="40">
        <f t="shared" si="8"/>
        <v>0</v>
      </c>
      <c r="AE98" s="31">
        <f t="shared" si="9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8"/>
        <v>0</v>
      </c>
      <c r="AE99" s="31">
        <f t="shared" si="9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8"/>
        <v>0</v>
      </c>
      <c r="AE100" s="31">
        <f t="shared" si="9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8"/>
        <v>0</v>
      </c>
      <c r="AE101" s="31">
        <f t="shared" si="9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8"/>
        <v>0</v>
      </c>
      <c r="AE102" s="31">
        <f t="shared" si="9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8"/>
        <v>0</v>
      </c>
      <c r="AE103" s="31">
        <f t="shared" si="9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4" priority="1">
      <formula>OR(CELL("col")=COLUMN(),CELL("row")=ROW())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7BA46-79ED-4F23-AB6E-FC797B139D1D}">
  <sheetPr codeName="Sheet21"/>
  <dimension ref="A1:AF104"/>
  <sheetViews>
    <sheetView rightToLeft="1" zoomScale="60" zoomScaleNormal="60" workbookViewId="0">
      <pane xSplit="1" ySplit="9" topLeftCell="B68" activePane="bottomRight" state="frozen"/>
      <selection pane="topRight" activeCell="B1" sqref="B1"/>
      <selection pane="bottomLeft" activeCell="A10" sqref="A10"/>
      <selection pane="bottomRight" activeCell="T80" sqref="T80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63</v>
      </c>
      <c r="B6" s="5" t="s">
        <v>41</v>
      </c>
      <c r="C6" s="38">
        <f t="shared" ref="C6:R7" si="0">SUM(C11,C14,C17,C20,C23,C26,C29,C32,C35,C38,C41,C44,C47,C50,C53,C56,C59,C62,C65,C68,C71,C74,C77,C80,C83,C86,C89,C92,C95,C98,C101)</f>
        <v>1</v>
      </c>
      <c r="D6" s="38">
        <f t="shared" si="0"/>
        <v>5</v>
      </c>
      <c r="E6" s="38">
        <f t="shared" si="0"/>
        <v>0</v>
      </c>
      <c r="F6" s="38">
        <f t="shared" si="0"/>
        <v>0</v>
      </c>
      <c r="G6" s="38">
        <f t="shared" si="0"/>
        <v>0</v>
      </c>
      <c r="H6" s="38">
        <f t="shared" si="0"/>
        <v>0</v>
      </c>
      <c r="I6" s="38">
        <f t="shared" si="0"/>
        <v>0</v>
      </c>
      <c r="J6" s="38">
        <f t="shared" si="0"/>
        <v>0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0</v>
      </c>
      <c r="P6" s="38">
        <f t="shared" si="0"/>
        <v>0</v>
      </c>
      <c r="Q6" s="38">
        <f t="shared" si="0"/>
        <v>3</v>
      </c>
      <c r="R6" s="38">
        <f t="shared" si="0"/>
        <v>0</v>
      </c>
      <c r="S6" s="38">
        <f t="shared" ref="S6:AC6" si="1">SUM(S11,S14,S17,S20,S23,S26,S29,S32,S35,S38,S41,S44,S47,S50,S53,S56,S59,S62,S65,S68,S71,S74,S77,S80,S83,S86,S89,S92,S95,S98,S101)</f>
        <v>1</v>
      </c>
      <c r="T6" s="38">
        <f t="shared" si="1"/>
        <v>2</v>
      </c>
      <c r="U6" s="38">
        <f t="shared" si="1"/>
        <v>0</v>
      </c>
      <c r="V6" s="38">
        <f t="shared" si="1"/>
        <v>13</v>
      </c>
      <c r="W6" s="38">
        <f t="shared" si="1"/>
        <v>0</v>
      </c>
      <c r="X6" s="38">
        <f t="shared" si="1"/>
        <v>1</v>
      </c>
      <c r="Y6" s="38">
        <f t="shared" si="1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8">
        <f t="shared" si="1"/>
        <v>0</v>
      </c>
      <c r="AD6" s="5">
        <f>SUM(C6:AC6)</f>
        <v>26</v>
      </c>
      <c r="AE6" s="5">
        <f>SUM(J6:U6)</f>
        <v>6</v>
      </c>
      <c r="AF6" s="78">
        <f>(AE6+AE7+AE8)/(AD6+AD7+AD8-Z9)*100</f>
        <v>23.076923076923077</v>
      </c>
    </row>
    <row r="7" spans="1:32" ht="22.5" customHeight="1">
      <c r="A7" s="95"/>
      <c r="B7" s="4" t="s">
        <v>42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 t="shared" si="0"/>
        <v>0</v>
      </c>
      <c r="O7" s="4">
        <f t="shared" si="0"/>
        <v>0</v>
      </c>
      <c r="P7" s="4">
        <f t="shared" si="0"/>
        <v>0</v>
      </c>
      <c r="Q7" s="4">
        <f t="shared" si="0"/>
        <v>0</v>
      </c>
      <c r="R7" s="4">
        <f t="shared" si="0"/>
        <v>0</v>
      </c>
      <c r="S7" s="4">
        <f t="shared" ref="S7:AC8" si="2">SUM(S12,S15,S18,S21,S24,S27,S30,S33,S36,S39,S42,S45,S48,S51,S54,S57,S60,S63,S66,S69,S72,S75,S78,S81,S84,S87,S90,S93,S96,S99,S102)</f>
        <v>0</v>
      </c>
      <c r="T7" s="4">
        <f t="shared" si="2"/>
        <v>0</v>
      </c>
      <c r="U7" s="4">
        <f t="shared" si="2"/>
        <v>0</v>
      </c>
      <c r="V7" s="4">
        <f t="shared" si="2"/>
        <v>0</v>
      </c>
      <c r="W7" s="4">
        <f t="shared" si="2"/>
        <v>0</v>
      </c>
      <c r="X7" s="4">
        <f t="shared" si="2"/>
        <v>0</v>
      </c>
      <c r="Y7" s="4">
        <f t="shared" si="2"/>
        <v>0</v>
      </c>
      <c r="Z7" s="51">
        <f t="shared" si="2"/>
        <v>0</v>
      </c>
      <c r="AA7" s="51">
        <f t="shared" si="2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2"/>
        <v>0</v>
      </c>
      <c r="AD7" s="4">
        <f t="shared" ref="AD7:AD8" si="3">SUM(C7:AC7)</f>
        <v>0</v>
      </c>
      <c r="AE7" s="4">
        <f t="shared" ref="AE7:AE8" si="4">SUM(J7:U7)</f>
        <v>0</v>
      </c>
      <c r="AF7" s="78"/>
    </row>
    <row r="8" spans="1:32" ht="22.5" customHeight="1" thickBot="1">
      <c r="A8" s="96"/>
      <c r="B8" s="7" t="s">
        <v>43</v>
      </c>
      <c r="C8" s="37">
        <f>SUM(C13,C16,C19,C22,C25,C28,C31,C34,C37,C40,C43,C46,C49,C52,C55,C58,C61,C64,C67,C70,C73,C76,C79,C82,C85,C88,C91,C94,C97,C100,C103)</f>
        <v>0</v>
      </c>
      <c r="D8" s="37">
        <f t="shared" ref="D8:AC8" si="5">SUM(D13,D16,D19,D22,D25,D28,D31,D34,D37,D40,D43,D46,D49,D52,D55,D58,D61,D64,D67,D70,D73,D76,D79,D82,D85,D88,D91,D94,D97,D100,D103)</f>
        <v>0</v>
      </c>
      <c r="E8" s="37">
        <f t="shared" si="5"/>
        <v>0</v>
      </c>
      <c r="F8" s="37">
        <f t="shared" si="5"/>
        <v>0</v>
      </c>
      <c r="G8" s="37">
        <f t="shared" si="5"/>
        <v>0</v>
      </c>
      <c r="H8" s="37">
        <f t="shared" si="5"/>
        <v>0</v>
      </c>
      <c r="I8" s="37">
        <f t="shared" si="5"/>
        <v>0</v>
      </c>
      <c r="J8" s="37">
        <f t="shared" si="5"/>
        <v>0</v>
      </c>
      <c r="K8" s="37">
        <f t="shared" si="5"/>
        <v>0</v>
      </c>
      <c r="L8" s="37">
        <f t="shared" si="5"/>
        <v>0</v>
      </c>
      <c r="M8" s="37">
        <f t="shared" si="5"/>
        <v>0</v>
      </c>
      <c r="N8" s="37">
        <f t="shared" si="5"/>
        <v>0</v>
      </c>
      <c r="O8" s="37">
        <f t="shared" si="5"/>
        <v>0</v>
      </c>
      <c r="P8" s="37">
        <f t="shared" si="5"/>
        <v>0</v>
      </c>
      <c r="Q8" s="37">
        <f t="shared" si="5"/>
        <v>0</v>
      </c>
      <c r="R8" s="37">
        <f t="shared" si="5"/>
        <v>0</v>
      </c>
      <c r="S8" s="37">
        <f t="shared" si="5"/>
        <v>0</v>
      </c>
      <c r="T8" s="37">
        <f t="shared" si="5"/>
        <v>0</v>
      </c>
      <c r="U8" s="37">
        <f t="shared" si="5"/>
        <v>0</v>
      </c>
      <c r="V8" s="37">
        <f t="shared" si="5"/>
        <v>0</v>
      </c>
      <c r="W8" s="37">
        <f t="shared" si="5"/>
        <v>0</v>
      </c>
      <c r="X8" s="37">
        <f t="shared" si="5"/>
        <v>0</v>
      </c>
      <c r="Y8" s="37">
        <f t="shared" si="5"/>
        <v>0</v>
      </c>
      <c r="Z8" s="52">
        <f t="shared" si="2"/>
        <v>0</v>
      </c>
      <c r="AA8" s="52">
        <f t="shared" si="2"/>
        <v>0</v>
      </c>
      <c r="AB8" s="52">
        <f>SUM(AB13,AB16,AB19,AB22,AB25,AB28,AB31,AB34,AB37,AB40,AB43,AB46,AB49,AB52,AB55,AB58,AB61,AB64,AB67,AB70,AB73,AB76,AB79,AB82,AB85,AB88,AB91,AB94,AB97,AB100,AB103)</f>
        <v>2</v>
      </c>
      <c r="AC8" s="37">
        <f t="shared" si="5"/>
        <v>0</v>
      </c>
      <c r="AD8" s="7">
        <f t="shared" si="3"/>
        <v>2</v>
      </c>
      <c r="AE8" s="7">
        <f t="shared" si="4"/>
        <v>0</v>
      </c>
      <c r="AF8" s="78"/>
    </row>
    <row r="9" spans="1:32" ht="15.5" thickTop="1" thickBot="1">
      <c r="Z9" s="83">
        <f>SUM(Z6:AB8)</f>
        <v>2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32"/>
      <c r="AD11" s="40">
        <f>SUM(C11:AC11)</f>
        <v>0</v>
      </c>
      <c r="AE11" s="31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6">SUM(C12:AC12)</f>
        <v>0</v>
      </c>
      <c r="AE12" s="31">
        <f t="shared" ref="AE12:AE75" si="7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6"/>
        <v>0</v>
      </c>
      <c r="AE13" s="31">
        <f t="shared" si="7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32"/>
      <c r="AD14" s="40">
        <f t="shared" si="6"/>
        <v>0</v>
      </c>
      <c r="AE14" s="31">
        <f t="shared" si="7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6"/>
        <v>0</v>
      </c>
      <c r="AE15" s="31">
        <f t="shared" si="7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6"/>
        <v>0</v>
      </c>
      <c r="AE16" s="31">
        <f t="shared" si="7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>
        <v>2</v>
      </c>
      <c r="R17" s="5"/>
      <c r="S17" s="5"/>
      <c r="T17" s="5"/>
      <c r="U17" s="5"/>
      <c r="V17" s="5">
        <v>4</v>
      </c>
      <c r="W17" s="5"/>
      <c r="X17" s="5">
        <v>1</v>
      </c>
      <c r="Y17" s="5"/>
      <c r="Z17" s="5"/>
      <c r="AA17" s="5"/>
      <c r="AB17" s="5"/>
      <c r="AC17" s="32"/>
      <c r="AD17" s="40">
        <f t="shared" si="6"/>
        <v>7</v>
      </c>
      <c r="AE17" s="31">
        <f t="shared" si="7"/>
        <v>2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6"/>
        <v>0</v>
      </c>
      <c r="AE18" s="31">
        <f t="shared" si="7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6"/>
        <v>0</v>
      </c>
      <c r="AE19" s="31">
        <f t="shared" si="7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32"/>
      <c r="AD20" s="40">
        <f t="shared" si="6"/>
        <v>0</v>
      </c>
      <c r="AE20" s="31">
        <f t="shared" si="7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6"/>
        <v>0</v>
      </c>
      <c r="AE21" s="31">
        <f t="shared" si="7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6"/>
        <v>0</v>
      </c>
      <c r="AE22" s="31">
        <f t="shared" si="7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6"/>
        <v>0</v>
      </c>
      <c r="AE23" s="31">
        <f t="shared" si="7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6"/>
        <v>0</v>
      </c>
      <c r="AE24" s="31">
        <f t="shared" si="7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6"/>
        <v>0</v>
      </c>
      <c r="AE25" s="31">
        <f t="shared" si="7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6"/>
        <v>0</v>
      </c>
      <c r="AE26" s="31">
        <f t="shared" si="7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6"/>
        <v>0</v>
      </c>
      <c r="AE27" s="31">
        <f t="shared" si="7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6"/>
        <v>0</v>
      </c>
      <c r="AE28" s="31">
        <f t="shared" si="7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32"/>
      <c r="AD29" s="40">
        <f t="shared" si="6"/>
        <v>0</v>
      </c>
      <c r="AE29" s="31">
        <f t="shared" si="7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6"/>
        <v>0</v>
      </c>
      <c r="AE30" s="31">
        <f t="shared" si="7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6"/>
        <v>0</v>
      </c>
      <c r="AE31" s="31">
        <f t="shared" si="7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32"/>
      <c r="AD32" s="40">
        <f t="shared" si="6"/>
        <v>0</v>
      </c>
      <c r="AE32" s="31">
        <f t="shared" si="7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6"/>
        <v>0</v>
      </c>
      <c r="AE33" s="31">
        <f t="shared" si="7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6"/>
        <v>0</v>
      </c>
      <c r="AE34" s="31">
        <f t="shared" si="7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2"/>
      <c r="AD35" s="40">
        <f t="shared" si="6"/>
        <v>0</v>
      </c>
      <c r="AE35" s="31">
        <f t="shared" si="7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6"/>
        <v>0</v>
      </c>
      <c r="AE36" s="31">
        <f t="shared" si="7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6"/>
        <v>0</v>
      </c>
      <c r="AE37" s="31">
        <f t="shared" si="7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>
        <v>1</v>
      </c>
      <c r="W38" s="5"/>
      <c r="X38" s="5"/>
      <c r="Y38" s="5"/>
      <c r="Z38" s="5"/>
      <c r="AA38" s="5"/>
      <c r="AB38" s="5"/>
      <c r="AC38" s="32"/>
      <c r="AD38" s="40">
        <f t="shared" si="6"/>
        <v>1</v>
      </c>
      <c r="AE38" s="31">
        <f t="shared" si="7"/>
        <v>0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6"/>
        <v>0</v>
      </c>
      <c r="AE39" s="31">
        <f t="shared" si="7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6"/>
        <v>0</v>
      </c>
      <c r="AE40" s="31">
        <f t="shared" si="7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32"/>
      <c r="AD41" s="40">
        <f t="shared" si="6"/>
        <v>0</v>
      </c>
      <c r="AE41" s="31">
        <f t="shared" si="7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6"/>
        <v>0</v>
      </c>
      <c r="AE42" s="31">
        <f t="shared" si="7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6"/>
        <v>0</v>
      </c>
      <c r="AE43" s="31">
        <f t="shared" si="7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>
        <v>1</v>
      </c>
      <c r="W44" s="5"/>
      <c r="X44" s="5"/>
      <c r="Y44" s="5"/>
      <c r="Z44" s="5"/>
      <c r="AA44" s="5"/>
      <c r="AB44" s="5"/>
      <c r="AC44" s="32"/>
      <c r="AD44" s="40">
        <f t="shared" si="6"/>
        <v>1</v>
      </c>
      <c r="AE44" s="31">
        <f t="shared" si="7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6"/>
        <v>0</v>
      </c>
      <c r="AE45" s="31">
        <f t="shared" si="7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6"/>
        <v>0</v>
      </c>
      <c r="AE46" s="31">
        <f t="shared" si="7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6"/>
        <v>0</v>
      </c>
      <c r="AE47" s="31">
        <f t="shared" si="7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6"/>
        <v>0</v>
      </c>
      <c r="AE48" s="31">
        <f t="shared" si="7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6"/>
        <v>0</v>
      </c>
      <c r="AE49" s="31">
        <f t="shared" si="7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6"/>
        <v>0</v>
      </c>
      <c r="AE50" s="31">
        <f t="shared" si="7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6"/>
        <v>0</v>
      </c>
      <c r="AE51" s="31">
        <f t="shared" si="7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6"/>
        <v>0</v>
      </c>
      <c r="AE52" s="31">
        <f t="shared" si="7"/>
        <v>0</v>
      </c>
    </row>
    <row r="53" spans="1:31" ht="15" thickTop="1">
      <c r="A53" s="63">
        <v>15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32"/>
      <c r="AD53" s="40">
        <f t="shared" si="6"/>
        <v>0</v>
      </c>
      <c r="AE53" s="31">
        <f t="shared" si="7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6"/>
        <v>0</v>
      </c>
      <c r="AE54" s="31">
        <f t="shared" si="7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6"/>
        <v>0</v>
      </c>
      <c r="AE55" s="31">
        <f t="shared" si="7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32"/>
      <c r="AD56" s="40">
        <f t="shared" si="6"/>
        <v>0</v>
      </c>
      <c r="AE56" s="31">
        <f t="shared" si="7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6"/>
        <v>0</v>
      </c>
      <c r="AE57" s="31">
        <f t="shared" si="7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6"/>
        <v>0</v>
      </c>
      <c r="AE58" s="31">
        <f t="shared" si="7"/>
        <v>0</v>
      </c>
    </row>
    <row r="59" spans="1:31" ht="15" thickTop="1">
      <c r="A59" s="63">
        <v>17</v>
      </c>
      <c r="C59" s="5"/>
      <c r="D59" s="5">
        <v>2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>
        <v>1</v>
      </c>
      <c r="R59" s="5"/>
      <c r="S59" s="5">
        <v>1</v>
      </c>
      <c r="T59" s="5"/>
      <c r="U59" s="5"/>
      <c r="V59" s="5">
        <v>3</v>
      </c>
      <c r="W59" s="5"/>
      <c r="X59" s="5"/>
      <c r="Y59" s="5"/>
      <c r="Z59" s="5"/>
      <c r="AA59" s="5"/>
      <c r="AB59" s="5"/>
      <c r="AC59" s="32"/>
      <c r="AD59" s="40">
        <f>SUM(C59:AC59)</f>
        <v>7</v>
      </c>
      <c r="AE59" s="31">
        <f t="shared" si="7"/>
        <v>2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6"/>
        <v>0</v>
      </c>
      <c r="AE60" s="31">
        <f t="shared" si="7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6"/>
        <v>0</v>
      </c>
      <c r="AE61" s="31">
        <f t="shared" si="7"/>
        <v>0</v>
      </c>
    </row>
    <row r="62" spans="1:31" ht="15" thickTop="1">
      <c r="A62" s="63">
        <v>18</v>
      </c>
      <c r="C62" s="2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6"/>
        <v>0</v>
      </c>
      <c r="AE62" s="31">
        <f t="shared" si="7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6"/>
        <v>0</v>
      </c>
      <c r="AE63" s="31">
        <f t="shared" si="7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6"/>
        <v>0</v>
      </c>
      <c r="AE64" s="31">
        <f t="shared" si="7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>
        <v>1</v>
      </c>
      <c r="W65" s="5"/>
      <c r="X65" s="5"/>
      <c r="Y65" s="5"/>
      <c r="Z65" s="5"/>
      <c r="AA65" s="5"/>
      <c r="AB65" s="5"/>
      <c r="AC65" s="32"/>
      <c r="AD65" s="40">
        <f t="shared" si="6"/>
        <v>1</v>
      </c>
      <c r="AE65" s="31">
        <f t="shared" si="7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6"/>
        <v>0</v>
      </c>
      <c r="AE66" s="31">
        <f t="shared" si="7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6"/>
        <v>0</v>
      </c>
      <c r="AE67" s="31">
        <f t="shared" si="7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6"/>
        <v>0</v>
      </c>
      <c r="AE68" s="31">
        <f t="shared" si="7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6"/>
        <v>0</v>
      </c>
      <c r="AE69" s="31">
        <f t="shared" si="7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6"/>
        <v>0</v>
      </c>
      <c r="AE70" s="31">
        <f t="shared" si="7"/>
        <v>0</v>
      </c>
    </row>
    <row r="71" spans="1:31" ht="15" thickTop="1">
      <c r="A71" s="63">
        <v>21</v>
      </c>
      <c r="C71" s="28"/>
      <c r="D71" s="5">
        <v>1</v>
      </c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6"/>
        <v>1</v>
      </c>
      <c r="AE71" s="31">
        <f t="shared" si="7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6"/>
        <v>0</v>
      </c>
      <c r="AE72" s="31">
        <f t="shared" si="7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6"/>
        <v>0</v>
      </c>
      <c r="AE73" s="31">
        <f t="shared" si="7"/>
        <v>0</v>
      </c>
    </row>
    <row r="74" spans="1:31" ht="15" thickTop="1">
      <c r="A74" s="63">
        <v>22</v>
      </c>
      <c r="C74" s="2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32"/>
      <c r="AD74" s="40">
        <f t="shared" si="6"/>
        <v>0</v>
      </c>
      <c r="AE74" s="31">
        <f t="shared" si="7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6"/>
        <v>0</v>
      </c>
      <c r="AE75" s="31">
        <f t="shared" si="7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8">SUM(C76:AC76)</f>
        <v>0</v>
      </c>
      <c r="AE76" s="31">
        <f t="shared" ref="AE76:AE103" si="9">SUM(J76:U76)</f>
        <v>0</v>
      </c>
    </row>
    <row r="77" spans="1:31" ht="15" thickTop="1">
      <c r="A77" s="63">
        <v>23</v>
      </c>
      <c r="C77" s="2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32"/>
      <c r="AD77" s="40">
        <f t="shared" si="8"/>
        <v>0</v>
      </c>
      <c r="AE77" s="31">
        <f t="shared" si="9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8"/>
        <v>0</v>
      </c>
      <c r="AE78" s="31">
        <f t="shared" si="9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8"/>
        <v>0</v>
      </c>
      <c r="AE79" s="31">
        <f t="shared" si="9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>
        <v>2</v>
      </c>
      <c r="U80" s="5"/>
      <c r="V80" s="5"/>
      <c r="W80" s="5"/>
      <c r="X80" s="5"/>
      <c r="Y80" s="5"/>
      <c r="Z80" s="5"/>
      <c r="AA80" s="5"/>
      <c r="AB80" s="5"/>
      <c r="AC80" s="32"/>
      <c r="AD80" s="40">
        <f t="shared" si="8"/>
        <v>2</v>
      </c>
      <c r="AE80" s="31">
        <f t="shared" si="9"/>
        <v>2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8"/>
        <v>0</v>
      </c>
      <c r="AE81" s="31">
        <f t="shared" si="9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8"/>
        <v>0</v>
      </c>
      <c r="AE82" s="31">
        <f t="shared" si="9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32"/>
      <c r="AD83" s="40">
        <f t="shared" si="8"/>
        <v>0</v>
      </c>
      <c r="AE83" s="31">
        <f t="shared" si="9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8"/>
        <v>0</v>
      </c>
      <c r="AE84" s="31">
        <f t="shared" si="9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8"/>
        <v>0</v>
      </c>
      <c r="AE85" s="31">
        <f t="shared" si="9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8"/>
        <v>0</v>
      </c>
      <c r="AE86" s="31">
        <f t="shared" si="9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8"/>
        <v>0</v>
      </c>
      <c r="AE87" s="31">
        <f t="shared" si="9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8"/>
        <v>0</v>
      </c>
      <c r="AE88" s="31">
        <f t="shared" si="9"/>
        <v>0</v>
      </c>
    </row>
    <row r="89" spans="1:31" ht="15" thickTop="1">
      <c r="A89" s="63">
        <v>27</v>
      </c>
      <c r="C89" s="28">
        <v>1</v>
      </c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>
        <v>2</v>
      </c>
      <c r="W89" s="5"/>
      <c r="X89" s="5"/>
      <c r="Y89" s="5"/>
      <c r="Z89" s="5"/>
      <c r="AA89" s="5"/>
      <c r="AB89" s="5"/>
      <c r="AC89" s="32"/>
      <c r="AD89" s="40">
        <f t="shared" si="8"/>
        <v>3</v>
      </c>
      <c r="AE89" s="31">
        <f t="shared" si="9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8"/>
        <v>0</v>
      </c>
      <c r="AE90" s="31">
        <f t="shared" si="9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>
        <v>2</v>
      </c>
      <c r="AC91" s="34"/>
      <c r="AD91" s="40">
        <f t="shared" si="8"/>
        <v>2</v>
      </c>
      <c r="AE91" s="31">
        <f t="shared" si="9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32"/>
      <c r="AD92" s="40">
        <f t="shared" si="8"/>
        <v>0</v>
      </c>
      <c r="AE92" s="31">
        <f t="shared" si="9"/>
        <v>0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8"/>
        <v>0</v>
      </c>
      <c r="AE93" s="31">
        <f t="shared" si="9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8"/>
        <v>0</v>
      </c>
      <c r="AE94" s="31">
        <f t="shared" si="9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8"/>
        <v>0</v>
      </c>
      <c r="AE95" s="31">
        <f t="shared" si="9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8"/>
        <v>0</v>
      </c>
      <c r="AE96" s="31">
        <f t="shared" si="9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8"/>
        <v>0</v>
      </c>
      <c r="AE97" s="31">
        <f t="shared" si="9"/>
        <v>0</v>
      </c>
    </row>
    <row r="98" spans="1:31" ht="15" thickTop="1">
      <c r="A98" s="63">
        <v>30</v>
      </c>
      <c r="C98" s="28"/>
      <c r="D98" s="5">
        <v>2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>
        <v>1</v>
      </c>
      <c r="W98" s="5"/>
      <c r="X98" s="5"/>
      <c r="Y98" s="5"/>
      <c r="Z98" s="5"/>
      <c r="AA98" s="5"/>
      <c r="AB98" s="5"/>
      <c r="AC98" s="32"/>
      <c r="AD98" s="40">
        <f t="shared" si="8"/>
        <v>3</v>
      </c>
      <c r="AE98" s="31">
        <f t="shared" si="9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8"/>
        <v>0</v>
      </c>
      <c r="AE99" s="31">
        <f t="shared" si="9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8"/>
        <v>0</v>
      </c>
      <c r="AE100" s="31">
        <f t="shared" si="9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8"/>
        <v>0</v>
      </c>
      <c r="AE101" s="31">
        <f t="shared" si="9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8"/>
        <v>0</v>
      </c>
      <c r="AE102" s="31">
        <f t="shared" si="9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8"/>
        <v>0</v>
      </c>
      <c r="AE103" s="31">
        <f t="shared" si="9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3" priority="1">
      <formula>OR(CELL("col")=COLUMN(),CELL("row")=ROW())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411CF-F2BD-4D45-8010-8C3E68F9D77B}">
  <sheetPr codeName="Sheet22"/>
  <dimension ref="A1:AF104"/>
  <sheetViews>
    <sheetView rightToLeft="1" zoomScale="60" zoomScaleNormal="60" workbookViewId="0">
      <pane xSplit="1" ySplit="9" topLeftCell="B42" activePane="bottomRight" state="frozen"/>
      <selection pane="topRight" activeCell="B1" sqref="B1"/>
      <selection pane="bottomLeft" activeCell="A10" sqref="A10"/>
      <selection pane="bottomRight" activeCell="AF6" sqref="AF6:AF8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45</v>
      </c>
      <c r="B6" s="5" t="s">
        <v>41</v>
      </c>
      <c r="C6" s="38">
        <f>SUM(C11,C14,C17,C20,C23,C26,C29,C32,C35,C38,C41,C44,C47,C50,C53,C56,C59,C62,C65,C68,C71,C74,C77,C80,C83,C86,C89,C92,C95,C98,C101)</f>
        <v>1</v>
      </c>
      <c r="D6" s="38">
        <f t="shared" ref="D6:AC6" si="0">SUM(D11,D14,D17,D20,D23,D26,D29,D32,D35,D38,D41,D44,D47,D50,D53,D56,D59,D62,D65,D68,D71,D74,D77,D80,D83,D86,D89,D92,D95,D98,D101)</f>
        <v>5</v>
      </c>
      <c r="E6" s="38">
        <f t="shared" si="0"/>
        <v>0</v>
      </c>
      <c r="F6" s="38">
        <f t="shared" si="0"/>
        <v>0</v>
      </c>
      <c r="G6" s="38">
        <f t="shared" si="0"/>
        <v>0</v>
      </c>
      <c r="H6" s="38">
        <f t="shared" si="0"/>
        <v>0</v>
      </c>
      <c r="I6" s="38">
        <f t="shared" si="0"/>
        <v>0</v>
      </c>
      <c r="J6" s="38">
        <f t="shared" si="0"/>
        <v>0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0</v>
      </c>
      <c r="P6" s="38">
        <f t="shared" si="0"/>
        <v>1</v>
      </c>
      <c r="Q6" s="38">
        <f t="shared" si="0"/>
        <v>1</v>
      </c>
      <c r="R6" s="38">
        <f t="shared" si="0"/>
        <v>1</v>
      </c>
      <c r="S6" s="38">
        <f t="shared" si="0"/>
        <v>0</v>
      </c>
      <c r="T6" s="38">
        <f t="shared" si="0"/>
        <v>0</v>
      </c>
      <c r="U6" s="38">
        <f t="shared" si="0"/>
        <v>0</v>
      </c>
      <c r="V6" s="38">
        <f t="shared" si="0"/>
        <v>17</v>
      </c>
      <c r="W6" s="38">
        <f t="shared" si="0"/>
        <v>0</v>
      </c>
      <c r="X6" s="38">
        <f t="shared" si="0"/>
        <v>2</v>
      </c>
      <c r="Y6" s="38">
        <f t="shared" si="0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8">
        <f t="shared" si="0"/>
        <v>0</v>
      </c>
      <c r="AD6" s="5">
        <f>SUM(C6:AC6)</f>
        <v>28</v>
      </c>
      <c r="AE6" s="5">
        <f>SUM(J6:U6)</f>
        <v>3</v>
      </c>
      <c r="AF6" s="78">
        <f>(AE6+AE7+AE8)/(AD6+AD7+AD8-Z9)*100</f>
        <v>10.714285714285714</v>
      </c>
    </row>
    <row r="7" spans="1:32" ht="22.5" customHeight="1">
      <c r="A7" s="95"/>
      <c r="B7" s="4" t="s">
        <v>42</v>
      </c>
      <c r="C7" s="4">
        <f>SUM(C12,C15,C18,C21,C24,C27,C30,C33,C36,C39,C42,C45,C48,C51,C54,C57,C60,C63,C66,C69,C72,C75,C78,C81,C84,C87,C90,C93,C96,C99,C102)</f>
        <v>0</v>
      </c>
      <c r="D7" s="4">
        <f t="shared" ref="D7:AC8" si="1">SUM(D12,D15,D18,D21,D24,D27,D30,D33,D36,D39,D42,D45,D48,D51,D54,D57,D60,D63,D66,D69,D72,D75,D78,D81,D84,D87,D90,D93,D96,D99,D102)</f>
        <v>0</v>
      </c>
      <c r="E7" s="4">
        <f t="shared" si="1"/>
        <v>0</v>
      </c>
      <c r="F7" s="4">
        <f t="shared" si="1"/>
        <v>0</v>
      </c>
      <c r="G7" s="4">
        <f t="shared" si="1"/>
        <v>0</v>
      </c>
      <c r="H7" s="4">
        <f t="shared" si="1"/>
        <v>0</v>
      </c>
      <c r="I7" s="4">
        <f t="shared" si="1"/>
        <v>0</v>
      </c>
      <c r="J7" s="4">
        <f t="shared" si="1"/>
        <v>0</v>
      </c>
      <c r="K7" s="4">
        <f t="shared" si="1"/>
        <v>0</v>
      </c>
      <c r="L7" s="4">
        <f t="shared" si="1"/>
        <v>0</v>
      </c>
      <c r="M7" s="4">
        <f t="shared" si="1"/>
        <v>0</v>
      </c>
      <c r="N7" s="4">
        <f t="shared" si="1"/>
        <v>0</v>
      </c>
      <c r="O7" s="4">
        <f t="shared" si="1"/>
        <v>0</v>
      </c>
      <c r="P7" s="4">
        <f t="shared" si="1"/>
        <v>0</v>
      </c>
      <c r="Q7" s="4">
        <f t="shared" si="1"/>
        <v>0</v>
      </c>
      <c r="R7" s="4">
        <f t="shared" si="1"/>
        <v>0</v>
      </c>
      <c r="S7" s="4">
        <f t="shared" si="1"/>
        <v>0</v>
      </c>
      <c r="T7" s="4">
        <f t="shared" si="1"/>
        <v>0</v>
      </c>
      <c r="U7" s="4">
        <f t="shared" si="1"/>
        <v>0</v>
      </c>
      <c r="V7" s="4">
        <f t="shared" si="1"/>
        <v>0</v>
      </c>
      <c r="W7" s="4">
        <f t="shared" si="1"/>
        <v>0</v>
      </c>
      <c r="X7" s="4">
        <f t="shared" si="1"/>
        <v>0</v>
      </c>
      <c r="Y7" s="4">
        <f t="shared" si="1"/>
        <v>0</v>
      </c>
      <c r="Z7" s="51">
        <f t="shared" si="1"/>
        <v>0</v>
      </c>
      <c r="AA7" s="51">
        <f t="shared" si="1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1"/>
        <v>0</v>
      </c>
      <c r="AD7" s="4">
        <f t="shared" ref="AD7:AD8" si="2">SUM(C7:AC7)</f>
        <v>0</v>
      </c>
      <c r="AE7" s="4">
        <f t="shared" ref="AE7:AE8" si="3">SUM(J7:U7)</f>
        <v>0</v>
      </c>
      <c r="AF7" s="78"/>
    </row>
    <row r="8" spans="1:32" ht="22.5" customHeight="1" thickBot="1">
      <c r="A8" s="96"/>
      <c r="B8" s="7" t="s">
        <v>43</v>
      </c>
      <c r="C8" s="37">
        <f>SUM(C13,C16,C19,C22,C25,C28,C31,C34,C37,C40,C43,C46,C49,C52,C55,C58,C61,C64,C67,C70,C73,C76,C79,C82,C85,C88,C91,C94,C97,C100,C103)</f>
        <v>0</v>
      </c>
      <c r="D8" s="37">
        <f t="shared" ref="D8:AC8" si="4">SUM(D13,D16,D19,D22,D25,D28,D31,D34,D37,D40,D43,D46,D49,D52,D55,D58,D61,D64,D67,D70,D73,D76,D79,D82,D85,D88,D91,D94,D97,D100,D103)</f>
        <v>0</v>
      </c>
      <c r="E8" s="37">
        <f t="shared" si="4"/>
        <v>0</v>
      </c>
      <c r="F8" s="37">
        <f t="shared" si="4"/>
        <v>0</v>
      </c>
      <c r="G8" s="37">
        <f t="shared" si="4"/>
        <v>0</v>
      </c>
      <c r="H8" s="37">
        <f t="shared" si="4"/>
        <v>0</v>
      </c>
      <c r="I8" s="37">
        <f t="shared" si="4"/>
        <v>0</v>
      </c>
      <c r="J8" s="37">
        <f t="shared" si="4"/>
        <v>0</v>
      </c>
      <c r="K8" s="37">
        <f t="shared" si="4"/>
        <v>0</v>
      </c>
      <c r="L8" s="37">
        <f t="shared" si="4"/>
        <v>0</v>
      </c>
      <c r="M8" s="37">
        <f t="shared" si="4"/>
        <v>0</v>
      </c>
      <c r="N8" s="37">
        <f t="shared" si="4"/>
        <v>0</v>
      </c>
      <c r="O8" s="37">
        <f t="shared" si="4"/>
        <v>0</v>
      </c>
      <c r="P8" s="37">
        <f t="shared" si="4"/>
        <v>0</v>
      </c>
      <c r="Q8" s="37">
        <f t="shared" si="4"/>
        <v>0</v>
      </c>
      <c r="R8" s="37">
        <f t="shared" si="4"/>
        <v>0</v>
      </c>
      <c r="S8" s="37">
        <f t="shared" si="4"/>
        <v>0</v>
      </c>
      <c r="T8" s="37">
        <f t="shared" si="4"/>
        <v>0</v>
      </c>
      <c r="U8" s="37">
        <f t="shared" si="4"/>
        <v>0</v>
      </c>
      <c r="V8" s="37">
        <f t="shared" si="4"/>
        <v>0</v>
      </c>
      <c r="W8" s="37">
        <f t="shared" si="4"/>
        <v>0</v>
      </c>
      <c r="X8" s="37">
        <f t="shared" si="4"/>
        <v>0</v>
      </c>
      <c r="Y8" s="37">
        <f t="shared" si="4"/>
        <v>0</v>
      </c>
      <c r="Z8" s="52">
        <f t="shared" si="1"/>
        <v>0</v>
      </c>
      <c r="AA8" s="52">
        <f t="shared" si="1"/>
        <v>3</v>
      </c>
      <c r="AB8" s="52">
        <f>SUM(AB13,AB16,AB19,AB22,AB25,AB28,AB31,AB34,AB37,AB40,AB43,AB46,AB49,AB52,AB55,AB58,AB61,AB64,AB67,AB70,AB73,AB76,AB79,AB82,AB85,AB88,AB91,AB94,AB97,AB100,AB103)</f>
        <v>1</v>
      </c>
      <c r="AC8" s="37">
        <f t="shared" si="4"/>
        <v>0</v>
      </c>
      <c r="AD8" s="7">
        <f t="shared" si="2"/>
        <v>4</v>
      </c>
      <c r="AE8" s="7">
        <f t="shared" si="3"/>
        <v>0</v>
      </c>
      <c r="AF8" s="78"/>
    </row>
    <row r="9" spans="1:32" ht="15.5" thickTop="1" thickBot="1">
      <c r="Z9" s="83">
        <f>SUM(Z6:AB8)</f>
        <v>4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>
        <v>1</v>
      </c>
      <c r="W11" s="5"/>
      <c r="X11" s="5"/>
      <c r="Y11" s="5"/>
      <c r="Z11" s="5"/>
      <c r="AA11" s="5"/>
      <c r="AB11" s="5"/>
      <c r="AC11" s="32"/>
      <c r="AD11" s="40">
        <f>SUM(C11:AC11)</f>
        <v>1</v>
      </c>
      <c r="AE11" s="31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5">SUM(C12:AC12)</f>
        <v>0</v>
      </c>
      <c r="AE12" s="31">
        <f t="shared" ref="AE12:AE75" si="6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5"/>
        <v>0</v>
      </c>
      <c r="AE13" s="31">
        <f t="shared" si="6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>
        <v>3</v>
      </c>
      <c r="W14" s="5"/>
      <c r="X14" s="5"/>
      <c r="Y14" s="5"/>
      <c r="Z14" s="5"/>
      <c r="AA14" s="5"/>
      <c r="AB14" s="5"/>
      <c r="AC14" s="32"/>
      <c r="AD14" s="40">
        <f t="shared" si="5"/>
        <v>3</v>
      </c>
      <c r="AE14" s="31">
        <f t="shared" si="6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5"/>
        <v>0</v>
      </c>
      <c r="AE15" s="31">
        <f t="shared" si="6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5"/>
        <v>0</v>
      </c>
      <c r="AE16" s="31">
        <f t="shared" si="6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32"/>
      <c r="AD17" s="40">
        <f t="shared" si="5"/>
        <v>0</v>
      </c>
      <c r="AE17" s="31">
        <f t="shared" si="6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5"/>
        <v>0</v>
      </c>
      <c r="AE18" s="31">
        <f t="shared" si="6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5"/>
        <v>0</v>
      </c>
      <c r="AE19" s="31">
        <f t="shared" si="6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32"/>
      <c r="AD20" s="40">
        <f t="shared" si="5"/>
        <v>0</v>
      </c>
      <c r="AE20" s="31">
        <f t="shared" si="6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5"/>
        <v>0</v>
      </c>
      <c r="AE21" s="31">
        <f t="shared" si="6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5"/>
        <v>0</v>
      </c>
      <c r="AE22" s="31">
        <f t="shared" si="6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>
        <v>1</v>
      </c>
      <c r="R23" s="5"/>
      <c r="S23" s="5"/>
      <c r="T23" s="5"/>
      <c r="U23" s="5"/>
      <c r="V23" s="5">
        <v>3</v>
      </c>
      <c r="W23" s="5"/>
      <c r="X23" s="5"/>
      <c r="Y23" s="5"/>
      <c r="Z23" s="5"/>
      <c r="AA23" s="5"/>
      <c r="AB23" s="5"/>
      <c r="AC23" s="32"/>
      <c r="AD23" s="40">
        <f t="shared" si="5"/>
        <v>4</v>
      </c>
      <c r="AE23" s="31">
        <f t="shared" si="6"/>
        <v>1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5"/>
        <v>0</v>
      </c>
      <c r="AE24" s="31">
        <f t="shared" si="6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5"/>
        <v>0</v>
      </c>
      <c r="AE25" s="31">
        <f t="shared" si="6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5"/>
        <v>0</v>
      </c>
      <c r="AE26" s="31">
        <f t="shared" si="6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5"/>
        <v>0</v>
      </c>
      <c r="AE27" s="31">
        <f t="shared" si="6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5"/>
        <v>0</v>
      </c>
      <c r="AE28" s="31">
        <f t="shared" si="6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32"/>
      <c r="AD29" s="40">
        <f t="shared" si="5"/>
        <v>0</v>
      </c>
      <c r="AE29" s="31">
        <f t="shared" si="6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5"/>
        <v>0</v>
      </c>
      <c r="AE30" s="31">
        <f t="shared" si="6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5"/>
        <v>0</v>
      </c>
      <c r="AE31" s="31">
        <f t="shared" si="6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32"/>
      <c r="AD32" s="40">
        <f t="shared" si="5"/>
        <v>0</v>
      </c>
      <c r="AE32" s="31">
        <f t="shared" si="6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5"/>
        <v>0</v>
      </c>
      <c r="AE33" s="31">
        <f t="shared" si="6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>
        <v>1</v>
      </c>
      <c r="AB34" s="7"/>
      <c r="AC34" s="34"/>
      <c r="AD34" s="40">
        <f t="shared" si="5"/>
        <v>1</v>
      </c>
      <c r="AE34" s="31">
        <f t="shared" si="6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2"/>
      <c r="AD35" s="40">
        <f t="shared" si="5"/>
        <v>0</v>
      </c>
      <c r="AE35" s="31">
        <f t="shared" si="6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5"/>
        <v>0</v>
      </c>
      <c r="AE36" s="31">
        <f t="shared" si="6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5"/>
        <v>0</v>
      </c>
      <c r="AE37" s="31">
        <f t="shared" si="6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32"/>
      <c r="AD38" s="40">
        <f t="shared" si="5"/>
        <v>0</v>
      </c>
      <c r="AE38" s="31">
        <f t="shared" si="6"/>
        <v>0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5"/>
        <v>0</v>
      </c>
      <c r="AE39" s="31">
        <f t="shared" si="6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5"/>
        <v>0</v>
      </c>
      <c r="AE40" s="31">
        <f t="shared" si="6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32"/>
      <c r="AD41" s="40">
        <f t="shared" si="5"/>
        <v>0</v>
      </c>
      <c r="AE41" s="31">
        <f t="shared" si="6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5"/>
        <v>0</v>
      </c>
      <c r="AE42" s="31">
        <f t="shared" si="6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>
        <v>1</v>
      </c>
      <c r="AB43" s="7"/>
      <c r="AC43" s="34"/>
      <c r="AD43" s="40">
        <f t="shared" si="5"/>
        <v>1</v>
      </c>
      <c r="AE43" s="31">
        <f t="shared" si="6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>
        <v>1</v>
      </c>
      <c r="W44" s="5"/>
      <c r="X44" s="5"/>
      <c r="Y44" s="5"/>
      <c r="Z44" s="5"/>
      <c r="AA44" s="5"/>
      <c r="AB44" s="5"/>
      <c r="AC44" s="32"/>
      <c r="AD44" s="40">
        <f t="shared" si="5"/>
        <v>1</v>
      </c>
      <c r="AE44" s="31">
        <f t="shared" si="6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5"/>
        <v>0</v>
      </c>
      <c r="AE45" s="31">
        <f t="shared" si="6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5"/>
        <v>0</v>
      </c>
      <c r="AE46" s="31">
        <f t="shared" si="6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5"/>
        <v>0</v>
      </c>
      <c r="AE47" s="31">
        <f t="shared" si="6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5"/>
        <v>0</v>
      </c>
      <c r="AE48" s="31">
        <f t="shared" si="6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5"/>
        <v>0</v>
      </c>
      <c r="AE49" s="31">
        <f t="shared" si="6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5"/>
        <v>0</v>
      </c>
      <c r="AE50" s="31">
        <f t="shared" si="6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5"/>
        <v>0</v>
      </c>
      <c r="AE51" s="31">
        <f t="shared" si="6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5"/>
        <v>0</v>
      </c>
      <c r="AE52" s="31">
        <f t="shared" si="6"/>
        <v>0</v>
      </c>
    </row>
    <row r="53" spans="1:31" ht="15" thickTop="1">
      <c r="A53" s="63">
        <v>15</v>
      </c>
      <c r="C53" s="5">
        <v>1</v>
      </c>
      <c r="D53" s="5">
        <v>2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>
        <v>5</v>
      </c>
      <c r="W53" s="5"/>
      <c r="X53" s="5"/>
      <c r="Y53" s="5"/>
      <c r="Z53" s="5"/>
      <c r="AA53" s="5"/>
      <c r="AB53" s="5"/>
      <c r="AC53" s="32"/>
      <c r="AD53" s="40">
        <f t="shared" si="5"/>
        <v>8</v>
      </c>
      <c r="AE53" s="31">
        <f t="shared" si="6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5"/>
        <v>0</v>
      </c>
      <c r="AE54" s="31">
        <f t="shared" si="6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5"/>
        <v>0</v>
      </c>
      <c r="AE55" s="31">
        <f t="shared" si="6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32"/>
      <c r="AD56" s="40">
        <f t="shared" si="5"/>
        <v>0</v>
      </c>
      <c r="AE56" s="31">
        <f t="shared" si="6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5"/>
        <v>0</v>
      </c>
      <c r="AE57" s="31">
        <f t="shared" si="6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5"/>
        <v>0</v>
      </c>
      <c r="AE58" s="31">
        <f t="shared" si="6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32"/>
      <c r="AD59" s="40">
        <f t="shared" si="5"/>
        <v>0</v>
      </c>
      <c r="AE59" s="31">
        <f t="shared" si="6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5"/>
        <v>0</v>
      </c>
      <c r="AE60" s="31">
        <f t="shared" si="6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5"/>
        <v>0</v>
      </c>
      <c r="AE61" s="31">
        <f t="shared" si="6"/>
        <v>0</v>
      </c>
    </row>
    <row r="62" spans="1:31" ht="15" thickTop="1">
      <c r="A62" s="63">
        <v>18</v>
      </c>
      <c r="C62" s="2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5"/>
        <v>0</v>
      </c>
      <c r="AE62" s="31">
        <f t="shared" si="6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5"/>
        <v>0</v>
      </c>
      <c r="AE63" s="31">
        <f t="shared" si="6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5"/>
        <v>0</v>
      </c>
      <c r="AE64" s="31">
        <f t="shared" si="6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5"/>
        <v>0</v>
      </c>
      <c r="AE65" s="31">
        <f t="shared" si="6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5"/>
        <v>0</v>
      </c>
      <c r="AE66" s="31">
        <f t="shared" si="6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5"/>
        <v>0</v>
      </c>
      <c r="AE67" s="31">
        <f t="shared" si="6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5"/>
        <v>0</v>
      </c>
      <c r="AE68" s="31">
        <f t="shared" si="6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5"/>
        <v>0</v>
      </c>
      <c r="AE69" s="31">
        <f t="shared" si="6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5"/>
        <v>0</v>
      </c>
      <c r="AE70" s="31">
        <f t="shared" si="6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5"/>
        <v>0</v>
      </c>
      <c r="AE71" s="31">
        <f t="shared" si="6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5"/>
        <v>0</v>
      </c>
      <c r="AE72" s="31">
        <f t="shared" si="6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5"/>
        <v>0</v>
      </c>
      <c r="AE73" s="31">
        <f t="shared" si="6"/>
        <v>0</v>
      </c>
    </row>
    <row r="74" spans="1:31" ht="15" thickTop="1">
      <c r="A74" s="63">
        <v>22</v>
      </c>
      <c r="C74" s="2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32"/>
      <c r="AD74" s="40">
        <f t="shared" si="5"/>
        <v>0</v>
      </c>
      <c r="AE74" s="31">
        <f t="shared" si="6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5"/>
        <v>0</v>
      </c>
      <c r="AE75" s="31">
        <f t="shared" si="6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7">SUM(C76:AC76)</f>
        <v>0</v>
      </c>
      <c r="AE76" s="31">
        <f t="shared" ref="AE76:AE103" si="8">SUM(J76:U76)</f>
        <v>0</v>
      </c>
    </row>
    <row r="77" spans="1:31" ht="15" thickTop="1">
      <c r="A77" s="63">
        <v>23</v>
      </c>
      <c r="C77" s="2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32"/>
      <c r="AD77" s="40">
        <f t="shared" si="7"/>
        <v>0</v>
      </c>
      <c r="AE77" s="31">
        <f t="shared" si="8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7"/>
        <v>0</v>
      </c>
      <c r="AE78" s="31">
        <f t="shared" si="8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7"/>
        <v>0</v>
      </c>
      <c r="AE79" s="31">
        <f t="shared" si="8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32"/>
      <c r="AD80" s="40">
        <f t="shared" si="7"/>
        <v>0</v>
      </c>
      <c r="AE80" s="31">
        <f t="shared" si="8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7"/>
        <v>0</v>
      </c>
      <c r="AE81" s="31">
        <f t="shared" si="8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7"/>
        <v>0</v>
      </c>
      <c r="AE82" s="31">
        <f t="shared" si="8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32"/>
      <c r="AD83" s="40">
        <f t="shared" si="7"/>
        <v>0</v>
      </c>
      <c r="AE83" s="31">
        <f t="shared" si="8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7"/>
        <v>0</v>
      </c>
      <c r="AE84" s="31">
        <f t="shared" si="8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7"/>
        <v>0</v>
      </c>
      <c r="AE85" s="31">
        <f t="shared" si="8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7"/>
        <v>0</v>
      </c>
      <c r="AE86" s="31">
        <f t="shared" si="8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7"/>
        <v>0</v>
      </c>
      <c r="AE87" s="31">
        <f t="shared" si="8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7"/>
        <v>0</v>
      </c>
      <c r="AE88" s="31">
        <f t="shared" si="8"/>
        <v>0</v>
      </c>
    </row>
    <row r="89" spans="1:31" ht="15" thickTop="1">
      <c r="A89" s="63">
        <v>27</v>
      </c>
      <c r="C89" s="2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32"/>
      <c r="AD89" s="40">
        <f t="shared" si="7"/>
        <v>0</v>
      </c>
      <c r="AE89" s="31">
        <f t="shared" si="8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7"/>
        <v>0</v>
      </c>
      <c r="AE90" s="31">
        <f t="shared" si="8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>
        <v>1</v>
      </c>
      <c r="AB91" s="7"/>
      <c r="AC91" s="34"/>
      <c r="AD91" s="40">
        <f t="shared" si="7"/>
        <v>1</v>
      </c>
      <c r="AE91" s="31">
        <f t="shared" si="8"/>
        <v>0</v>
      </c>
    </row>
    <row r="92" spans="1:31" ht="15" thickTop="1">
      <c r="A92" s="63">
        <v>28</v>
      </c>
      <c r="C92" s="28"/>
      <c r="D92" s="5">
        <v>3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>
        <v>1</v>
      </c>
      <c r="Q92" s="5"/>
      <c r="R92" s="5">
        <v>1</v>
      </c>
      <c r="S92" s="5"/>
      <c r="T92" s="5"/>
      <c r="U92" s="5"/>
      <c r="V92" s="5">
        <v>4</v>
      </c>
      <c r="W92" s="5"/>
      <c r="X92" s="5">
        <v>2</v>
      </c>
      <c r="Y92" s="5"/>
      <c r="Z92" s="5"/>
      <c r="AA92" s="5"/>
      <c r="AB92" s="5"/>
      <c r="AC92" s="32"/>
      <c r="AD92" s="40">
        <f t="shared" si="7"/>
        <v>11</v>
      </c>
      <c r="AE92" s="31">
        <f t="shared" si="8"/>
        <v>2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7"/>
        <v>0</v>
      </c>
      <c r="AE93" s="31">
        <f t="shared" si="8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>
        <v>1</v>
      </c>
      <c r="AC94" s="34"/>
      <c r="AD94" s="40">
        <f t="shared" si="7"/>
        <v>1</v>
      </c>
      <c r="AE94" s="31">
        <f t="shared" si="8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7"/>
        <v>0</v>
      </c>
      <c r="AE95" s="31">
        <f t="shared" si="8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7"/>
        <v>0</v>
      </c>
      <c r="AE96" s="31">
        <f t="shared" si="8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7"/>
        <v>0</v>
      </c>
      <c r="AE97" s="31">
        <f t="shared" si="8"/>
        <v>0</v>
      </c>
    </row>
    <row r="98" spans="1:31" ht="15" thickTop="1">
      <c r="A98" s="63">
        <v>30</v>
      </c>
      <c r="C98" s="28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32"/>
      <c r="AD98" s="40">
        <f t="shared" si="7"/>
        <v>0</v>
      </c>
      <c r="AE98" s="31">
        <f t="shared" si="8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7"/>
        <v>0</v>
      </c>
      <c r="AE99" s="31">
        <f t="shared" si="8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7"/>
        <v>0</v>
      </c>
      <c r="AE100" s="31">
        <f t="shared" si="8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7"/>
        <v>0</v>
      </c>
      <c r="AE101" s="31">
        <f t="shared" si="8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7"/>
        <v>0</v>
      </c>
      <c r="AE102" s="31">
        <f t="shared" si="8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7"/>
        <v>0</v>
      </c>
      <c r="AE103" s="31">
        <f t="shared" si="8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2" priority="1">
      <formula>OR(CELL("col")=COLUMN(),CELL("row")=ROW())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AE81A-4D24-4BBA-A4CB-6CE8017E737A}">
  <sheetPr codeName="Sheet17"/>
  <dimension ref="A1:AF104"/>
  <sheetViews>
    <sheetView rightToLeft="1" zoomScale="60" zoomScaleNormal="60" workbookViewId="0">
      <pane xSplit="1" ySplit="9" topLeftCell="C10" activePane="bottomRight" state="frozen"/>
      <selection pane="topRight" activeCell="B1" sqref="B1"/>
      <selection pane="bottomLeft" activeCell="A10" sqref="A10"/>
      <selection pane="bottomRight" activeCell="Q13" sqref="Q13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59</v>
      </c>
      <c r="B6" s="5" t="s">
        <v>41</v>
      </c>
      <c r="C6" s="38">
        <f t="shared" ref="C6:R7" si="0">SUM(C11,C14,C17,C20,C23,C26,C29,C32,C35,C38,C41,C44,C47,C50,C53,C56,C59,C62,C65,C68,C71,C74,C77,C80,C83,C86,C89,C92,C95,C98,C101)</f>
        <v>0</v>
      </c>
      <c r="D6" s="38">
        <f t="shared" si="0"/>
        <v>0</v>
      </c>
      <c r="E6" s="38">
        <f t="shared" si="0"/>
        <v>0</v>
      </c>
      <c r="F6" s="38">
        <f t="shared" si="0"/>
        <v>0</v>
      </c>
      <c r="G6" s="38">
        <f t="shared" si="0"/>
        <v>0</v>
      </c>
      <c r="H6" s="38">
        <f t="shared" si="0"/>
        <v>0</v>
      </c>
      <c r="I6" s="38">
        <f t="shared" si="0"/>
        <v>0</v>
      </c>
      <c r="J6" s="38">
        <f t="shared" si="0"/>
        <v>0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0</v>
      </c>
      <c r="P6" s="38">
        <f t="shared" si="0"/>
        <v>0</v>
      </c>
      <c r="Q6" s="38">
        <f t="shared" si="0"/>
        <v>0</v>
      </c>
      <c r="R6" s="38">
        <f t="shared" si="0"/>
        <v>0</v>
      </c>
      <c r="S6" s="38">
        <f t="shared" ref="S6:AC6" si="1">SUM(S11,S14,S17,S20,S23,S26,S29,S32,S35,S38,S41,S44,S47,S50,S53,S56,S59,S62,S65,S68,S71,S74,S77,S80,S83,S86,S89,S92,S95,S98,S101)</f>
        <v>0</v>
      </c>
      <c r="T6" s="38">
        <f t="shared" si="1"/>
        <v>0</v>
      </c>
      <c r="U6" s="38">
        <f t="shared" si="1"/>
        <v>0</v>
      </c>
      <c r="V6" s="38">
        <f t="shared" si="1"/>
        <v>0</v>
      </c>
      <c r="W6" s="38">
        <f t="shared" si="1"/>
        <v>0</v>
      </c>
      <c r="X6" s="38">
        <f t="shared" si="1"/>
        <v>0</v>
      </c>
      <c r="Y6" s="38">
        <f t="shared" si="1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8">
        <f t="shared" si="1"/>
        <v>0</v>
      </c>
      <c r="AD6" s="5">
        <f>SUM(C6:AC6)</f>
        <v>0</v>
      </c>
      <c r="AE6" s="5">
        <f>SUM(J6:U6)</f>
        <v>0</v>
      </c>
      <c r="AF6" s="78" t="e">
        <f>(AE6+AE7+AE8)/(AD6+AD7+AD8-Z9)*100</f>
        <v>#DIV/0!</v>
      </c>
    </row>
    <row r="7" spans="1:32" ht="22.5" customHeight="1">
      <c r="A7" s="95"/>
      <c r="B7" s="4" t="s">
        <v>42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 t="shared" si="0"/>
        <v>0</v>
      </c>
      <c r="O7" s="4">
        <f t="shared" si="0"/>
        <v>0</v>
      </c>
      <c r="P7" s="4">
        <f t="shared" si="0"/>
        <v>0</v>
      </c>
      <c r="Q7" s="4">
        <f t="shared" si="0"/>
        <v>0</v>
      </c>
      <c r="R7" s="4">
        <f t="shared" si="0"/>
        <v>0</v>
      </c>
      <c r="S7" s="4">
        <f t="shared" ref="S7:AC8" si="2">SUM(S12,S15,S18,S21,S24,S27,S30,S33,S36,S39,S42,S45,S48,S51,S54,S57,S60,S63,S66,S69,S72,S75,S78,S81,S84,S87,S90,S93,S96,S99,S102)</f>
        <v>0</v>
      </c>
      <c r="T7" s="4">
        <f t="shared" si="2"/>
        <v>0</v>
      </c>
      <c r="U7" s="4">
        <f t="shared" si="2"/>
        <v>0</v>
      </c>
      <c r="V7" s="4">
        <f t="shared" si="2"/>
        <v>0</v>
      </c>
      <c r="W7" s="4">
        <f t="shared" si="2"/>
        <v>0</v>
      </c>
      <c r="X7" s="4">
        <f t="shared" si="2"/>
        <v>0</v>
      </c>
      <c r="Y7" s="4">
        <f t="shared" si="2"/>
        <v>0</v>
      </c>
      <c r="Z7" s="51">
        <f t="shared" si="2"/>
        <v>0</v>
      </c>
      <c r="AA7" s="51">
        <f t="shared" si="2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2"/>
        <v>0</v>
      </c>
      <c r="AD7" s="4">
        <f t="shared" ref="AD7:AD8" si="3">SUM(C7:AC7)</f>
        <v>0</v>
      </c>
      <c r="AE7" s="4">
        <f t="shared" ref="AE7:AE8" si="4">SUM(J7:U7)</f>
        <v>0</v>
      </c>
      <c r="AF7" s="78"/>
    </row>
    <row r="8" spans="1:32" ht="22.5" customHeight="1" thickBot="1">
      <c r="A8" s="96"/>
      <c r="B8" s="7" t="s">
        <v>43</v>
      </c>
      <c r="C8" s="37">
        <f>SUM(C13,C16,C19,C22,C25,C28,C31,C34,C37,C40,C43,C46,C49,C52,C55,C58,C61,C64,C67,C70,C73,C76,C79,C82,C85,C88,C91,C94,C97,C100,C103)</f>
        <v>0</v>
      </c>
      <c r="D8" s="37">
        <f t="shared" ref="D8:AC8" si="5">SUM(D13,D16,D19,D22,D25,D28,D31,D34,D37,D40,D43,D46,D49,D52,D55,D58,D61,D64,D67,D70,D73,D76,D79,D82,D85,D88,D91,D94,D97,D100,D103)</f>
        <v>0</v>
      </c>
      <c r="E8" s="37">
        <f t="shared" si="5"/>
        <v>0</v>
      </c>
      <c r="F8" s="37">
        <f t="shared" si="5"/>
        <v>0</v>
      </c>
      <c r="G8" s="37">
        <f t="shared" si="5"/>
        <v>0</v>
      </c>
      <c r="H8" s="37">
        <f t="shared" si="5"/>
        <v>0</v>
      </c>
      <c r="I8" s="37">
        <f t="shared" si="5"/>
        <v>0</v>
      </c>
      <c r="J8" s="37">
        <f t="shared" si="5"/>
        <v>0</v>
      </c>
      <c r="K8" s="37">
        <f t="shared" si="5"/>
        <v>0</v>
      </c>
      <c r="L8" s="37">
        <f t="shared" si="5"/>
        <v>0</v>
      </c>
      <c r="M8" s="37">
        <f t="shared" si="5"/>
        <v>0</v>
      </c>
      <c r="N8" s="37">
        <f t="shared" si="5"/>
        <v>0</v>
      </c>
      <c r="O8" s="37">
        <f t="shared" si="5"/>
        <v>0</v>
      </c>
      <c r="P8" s="37">
        <f t="shared" si="5"/>
        <v>0</v>
      </c>
      <c r="Q8" s="37">
        <f t="shared" si="5"/>
        <v>0</v>
      </c>
      <c r="R8" s="37">
        <f t="shared" si="5"/>
        <v>0</v>
      </c>
      <c r="S8" s="37">
        <f t="shared" si="5"/>
        <v>0</v>
      </c>
      <c r="T8" s="37">
        <f t="shared" si="5"/>
        <v>0</v>
      </c>
      <c r="U8" s="37">
        <f t="shared" si="5"/>
        <v>0</v>
      </c>
      <c r="V8" s="37">
        <f t="shared" si="5"/>
        <v>0</v>
      </c>
      <c r="W8" s="37">
        <f t="shared" si="5"/>
        <v>0</v>
      </c>
      <c r="X8" s="37">
        <f t="shared" si="5"/>
        <v>0</v>
      </c>
      <c r="Y8" s="37">
        <f t="shared" si="5"/>
        <v>0</v>
      </c>
      <c r="Z8" s="52">
        <f t="shared" si="2"/>
        <v>0</v>
      </c>
      <c r="AA8" s="52">
        <f t="shared" si="2"/>
        <v>0</v>
      </c>
      <c r="AB8" s="52">
        <f>SUM(AB13,AB16,AB19,AB22,AB25,AB28,AB31,AB34,AB37,AB40,AB43,AB46,AB49,AB52,AB55,AB58,AB61,AB64,AB67,AB70,AB73,AB76,AB79,AB82,AB85,AB88,AB91,AB94,AB97,AB100,AB103)</f>
        <v>0</v>
      </c>
      <c r="AC8" s="37">
        <f t="shared" si="5"/>
        <v>0</v>
      </c>
      <c r="AD8" s="7">
        <f t="shared" si="3"/>
        <v>0</v>
      </c>
      <c r="AE8" s="7">
        <f t="shared" si="4"/>
        <v>0</v>
      </c>
      <c r="AF8" s="78"/>
    </row>
    <row r="9" spans="1:32" ht="15.5" thickTop="1" thickBot="1">
      <c r="Z9" s="83">
        <f>SUM(Z6:AB8)</f>
        <v>0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32"/>
      <c r="AD11" s="40">
        <f>SUM(C11:AC11)</f>
        <v>0</v>
      </c>
      <c r="AE11" s="31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6">SUM(C12:AC12)</f>
        <v>0</v>
      </c>
      <c r="AE12" s="31">
        <f t="shared" ref="AE12:AE75" si="7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6"/>
        <v>0</v>
      </c>
      <c r="AE13" s="31">
        <f t="shared" si="7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32"/>
      <c r="AD14" s="40">
        <f t="shared" si="6"/>
        <v>0</v>
      </c>
      <c r="AE14" s="31">
        <f t="shared" si="7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6"/>
        <v>0</v>
      </c>
      <c r="AE15" s="31">
        <f t="shared" si="7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6"/>
        <v>0</v>
      </c>
      <c r="AE16" s="31">
        <f t="shared" si="7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32"/>
      <c r="AD17" s="40">
        <f t="shared" si="6"/>
        <v>0</v>
      </c>
      <c r="AE17" s="31">
        <f t="shared" si="7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6"/>
        <v>0</v>
      </c>
      <c r="AE18" s="31">
        <f t="shared" si="7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6"/>
        <v>0</v>
      </c>
      <c r="AE19" s="31">
        <f t="shared" si="7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32"/>
      <c r="AD20" s="40">
        <f t="shared" si="6"/>
        <v>0</v>
      </c>
      <c r="AE20" s="31">
        <f t="shared" si="7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6"/>
        <v>0</v>
      </c>
      <c r="AE21" s="31">
        <f t="shared" si="7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6"/>
        <v>0</v>
      </c>
      <c r="AE22" s="31">
        <f t="shared" si="7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6"/>
        <v>0</v>
      </c>
      <c r="AE23" s="31">
        <f t="shared" si="7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6"/>
        <v>0</v>
      </c>
      <c r="AE24" s="31">
        <f t="shared" si="7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6"/>
        <v>0</v>
      </c>
      <c r="AE25" s="31">
        <f t="shared" si="7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6"/>
        <v>0</v>
      </c>
      <c r="AE26" s="31">
        <f t="shared" si="7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6"/>
        <v>0</v>
      </c>
      <c r="AE27" s="31">
        <f t="shared" si="7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6"/>
        <v>0</v>
      </c>
      <c r="AE28" s="31">
        <f t="shared" si="7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32"/>
      <c r="AD29" s="40">
        <f t="shared" si="6"/>
        <v>0</v>
      </c>
      <c r="AE29" s="31">
        <f t="shared" si="7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6"/>
        <v>0</v>
      </c>
      <c r="AE30" s="31">
        <f t="shared" si="7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6"/>
        <v>0</v>
      </c>
      <c r="AE31" s="31">
        <f t="shared" si="7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32"/>
      <c r="AD32" s="40">
        <f t="shared" si="6"/>
        <v>0</v>
      </c>
      <c r="AE32" s="31">
        <f t="shared" si="7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6"/>
        <v>0</v>
      </c>
      <c r="AE33" s="31">
        <f t="shared" si="7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6"/>
        <v>0</v>
      </c>
      <c r="AE34" s="31">
        <f t="shared" si="7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2"/>
      <c r="AD35" s="40">
        <f t="shared" si="6"/>
        <v>0</v>
      </c>
      <c r="AE35" s="31">
        <f t="shared" si="7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6"/>
        <v>0</v>
      </c>
      <c r="AE36" s="31">
        <f t="shared" si="7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6"/>
        <v>0</v>
      </c>
      <c r="AE37" s="31">
        <f t="shared" si="7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32"/>
      <c r="AD38" s="40">
        <f t="shared" si="6"/>
        <v>0</v>
      </c>
      <c r="AE38" s="31">
        <f t="shared" si="7"/>
        <v>0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6"/>
        <v>0</v>
      </c>
      <c r="AE39" s="31">
        <f t="shared" si="7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6"/>
        <v>0</v>
      </c>
      <c r="AE40" s="31">
        <f t="shared" si="7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32"/>
      <c r="AD41" s="40">
        <f t="shared" si="6"/>
        <v>0</v>
      </c>
      <c r="AE41" s="31">
        <f t="shared" si="7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6"/>
        <v>0</v>
      </c>
      <c r="AE42" s="31">
        <f t="shared" si="7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6"/>
        <v>0</v>
      </c>
      <c r="AE43" s="31">
        <f t="shared" si="7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32"/>
      <c r="AD44" s="40">
        <f t="shared" si="6"/>
        <v>0</v>
      </c>
      <c r="AE44" s="31">
        <f t="shared" si="7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6"/>
        <v>0</v>
      </c>
      <c r="AE45" s="31">
        <f t="shared" si="7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6"/>
        <v>0</v>
      </c>
      <c r="AE46" s="31">
        <f t="shared" si="7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6"/>
        <v>0</v>
      </c>
      <c r="AE47" s="31">
        <f t="shared" si="7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6"/>
        <v>0</v>
      </c>
      <c r="AE48" s="31">
        <f t="shared" si="7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6"/>
        <v>0</v>
      </c>
      <c r="AE49" s="31">
        <f t="shared" si="7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6"/>
        <v>0</v>
      </c>
      <c r="AE50" s="31">
        <f t="shared" si="7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6"/>
        <v>0</v>
      </c>
      <c r="AE51" s="31">
        <f t="shared" si="7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6"/>
        <v>0</v>
      </c>
      <c r="AE52" s="31">
        <f t="shared" si="7"/>
        <v>0</v>
      </c>
    </row>
    <row r="53" spans="1:31" ht="15" thickTop="1">
      <c r="A53" s="63">
        <v>15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32"/>
      <c r="AD53" s="40">
        <f t="shared" si="6"/>
        <v>0</v>
      </c>
      <c r="AE53" s="31">
        <f t="shared" si="7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6"/>
        <v>0</v>
      </c>
      <c r="AE54" s="31">
        <f t="shared" si="7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6"/>
        <v>0</v>
      </c>
      <c r="AE55" s="31">
        <f t="shared" si="7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32"/>
      <c r="AD56" s="40">
        <f t="shared" si="6"/>
        <v>0</v>
      </c>
      <c r="AE56" s="31">
        <f t="shared" si="7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6"/>
        <v>0</v>
      </c>
      <c r="AE57" s="31">
        <f t="shared" si="7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6"/>
        <v>0</v>
      </c>
      <c r="AE58" s="31">
        <f t="shared" si="7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32"/>
      <c r="AD59" s="40">
        <f t="shared" si="6"/>
        <v>0</v>
      </c>
      <c r="AE59" s="31">
        <f t="shared" si="7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6"/>
        <v>0</v>
      </c>
      <c r="AE60" s="31">
        <f t="shared" si="7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6"/>
        <v>0</v>
      </c>
      <c r="AE61" s="31">
        <f t="shared" si="7"/>
        <v>0</v>
      </c>
    </row>
    <row r="62" spans="1:31" ht="15" thickTop="1">
      <c r="A62" s="63">
        <v>18</v>
      </c>
      <c r="C62" s="2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6"/>
        <v>0</v>
      </c>
      <c r="AE62" s="31">
        <f t="shared" si="7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6"/>
        <v>0</v>
      </c>
      <c r="AE63" s="31">
        <f t="shared" si="7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6"/>
        <v>0</v>
      </c>
      <c r="AE64" s="31">
        <f t="shared" si="7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6"/>
        <v>0</v>
      </c>
      <c r="AE65" s="31">
        <f t="shared" si="7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6"/>
        <v>0</v>
      </c>
      <c r="AE66" s="31">
        <f t="shared" si="7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6"/>
        <v>0</v>
      </c>
      <c r="AE67" s="31">
        <f t="shared" si="7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6"/>
        <v>0</v>
      </c>
      <c r="AE68" s="31">
        <f t="shared" si="7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6"/>
        <v>0</v>
      </c>
      <c r="AE69" s="31">
        <f t="shared" si="7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6"/>
        <v>0</v>
      </c>
      <c r="AE70" s="31">
        <f t="shared" si="7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6"/>
        <v>0</v>
      </c>
      <c r="AE71" s="31">
        <f t="shared" si="7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6"/>
        <v>0</v>
      </c>
      <c r="AE72" s="31">
        <f t="shared" si="7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6"/>
        <v>0</v>
      </c>
      <c r="AE73" s="31">
        <f t="shared" si="7"/>
        <v>0</v>
      </c>
    </row>
    <row r="74" spans="1:31" ht="15" thickTop="1">
      <c r="A74" s="63">
        <v>22</v>
      </c>
      <c r="C74" s="2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32"/>
      <c r="AD74" s="40">
        <f t="shared" si="6"/>
        <v>0</v>
      </c>
      <c r="AE74" s="31">
        <f t="shared" si="7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6"/>
        <v>0</v>
      </c>
      <c r="AE75" s="31">
        <f t="shared" si="7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8">SUM(C76:AC76)</f>
        <v>0</v>
      </c>
      <c r="AE76" s="31">
        <f t="shared" ref="AE76:AE103" si="9">SUM(J76:U76)</f>
        <v>0</v>
      </c>
    </row>
    <row r="77" spans="1:31" ht="15" thickTop="1">
      <c r="A77" s="63">
        <v>23</v>
      </c>
      <c r="C77" s="2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32"/>
      <c r="AD77" s="40">
        <f t="shared" si="8"/>
        <v>0</v>
      </c>
      <c r="AE77" s="31">
        <f t="shared" si="9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8"/>
        <v>0</v>
      </c>
      <c r="AE78" s="31">
        <f t="shared" si="9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8"/>
        <v>0</v>
      </c>
      <c r="AE79" s="31">
        <f t="shared" si="9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32"/>
      <c r="AD80" s="40">
        <f t="shared" si="8"/>
        <v>0</v>
      </c>
      <c r="AE80" s="31">
        <f t="shared" si="9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8"/>
        <v>0</v>
      </c>
      <c r="AE81" s="31">
        <f t="shared" si="9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8"/>
        <v>0</v>
      </c>
      <c r="AE82" s="31">
        <f t="shared" si="9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32"/>
      <c r="AD83" s="40">
        <f t="shared" si="8"/>
        <v>0</v>
      </c>
      <c r="AE83" s="31">
        <f t="shared" si="9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8"/>
        <v>0</v>
      </c>
      <c r="AE84" s="31">
        <f t="shared" si="9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8"/>
        <v>0</v>
      </c>
      <c r="AE85" s="31">
        <f t="shared" si="9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8"/>
        <v>0</v>
      </c>
      <c r="AE86" s="31">
        <f t="shared" si="9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8"/>
        <v>0</v>
      </c>
      <c r="AE87" s="31">
        <f t="shared" si="9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8"/>
        <v>0</v>
      </c>
      <c r="AE88" s="31">
        <f t="shared" si="9"/>
        <v>0</v>
      </c>
    </row>
    <row r="89" spans="1:31" ht="15" thickTop="1">
      <c r="A89" s="63">
        <v>27</v>
      </c>
      <c r="C89" s="2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32"/>
      <c r="AD89" s="40">
        <f t="shared" si="8"/>
        <v>0</v>
      </c>
      <c r="AE89" s="31">
        <f t="shared" si="9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8"/>
        <v>0</v>
      </c>
      <c r="AE90" s="31">
        <f t="shared" si="9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34"/>
      <c r="AD91" s="40">
        <f t="shared" si="8"/>
        <v>0</v>
      </c>
      <c r="AE91" s="31">
        <f t="shared" si="9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32"/>
      <c r="AD92" s="40">
        <f t="shared" si="8"/>
        <v>0</v>
      </c>
      <c r="AE92" s="31">
        <f t="shared" si="9"/>
        <v>0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8"/>
        <v>0</v>
      </c>
      <c r="AE93" s="31">
        <f t="shared" si="9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8"/>
        <v>0</v>
      </c>
      <c r="AE94" s="31">
        <f t="shared" si="9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8"/>
        <v>0</v>
      </c>
      <c r="AE95" s="31">
        <f t="shared" si="9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8"/>
        <v>0</v>
      </c>
      <c r="AE96" s="31">
        <f t="shared" si="9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8"/>
        <v>0</v>
      </c>
      <c r="AE97" s="31">
        <f t="shared" si="9"/>
        <v>0</v>
      </c>
    </row>
    <row r="98" spans="1:31" ht="15" thickTop="1">
      <c r="A98" s="63">
        <v>30</v>
      </c>
      <c r="C98" s="28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32"/>
      <c r="AD98" s="40">
        <f t="shared" si="8"/>
        <v>0</v>
      </c>
      <c r="AE98" s="31">
        <f t="shared" si="9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8"/>
        <v>0</v>
      </c>
      <c r="AE99" s="31">
        <f t="shared" si="9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8"/>
        <v>0</v>
      </c>
      <c r="AE100" s="31">
        <f t="shared" si="9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8"/>
        <v>0</v>
      </c>
      <c r="AE101" s="31">
        <f t="shared" si="9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8"/>
        <v>0</v>
      </c>
      <c r="AE102" s="31">
        <f t="shared" si="9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8"/>
        <v>0</v>
      </c>
      <c r="AE103" s="31">
        <f t="shared" si="9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1" priority="1">
      <formula>OR(CELL("col")=COLUMN(),CELL("row")=ROW())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5636-778A-456C-8370-57FD01EAD15B}">
  <sheetPr codeName="Sheet12"/>
  <dimension ref="A1:AF104"/>
  <sheetViews>
    <sheetView rightToLeft="1" zoomScale="60" zoomScaleNormal="60" workbookViewId="0">
      <pane xSplit="1" ySplit="9" topLeftCell="B10" activePane="bottomRight" state="frozen"/>
      <selection pane="topRight" activeCell="B1" sqref="B1"/>
      <selection pane="bottomLeft" activeCell="A10" sqref="A10"/>
      <selection pane="bottomRight" activeCell="P22" sqref="P22"/>
    </sheetView>
  </sheetViews>
  <sheetFormatPr defaultRowHeight="14.5"/>
  <cols>
    <col min="1" max="1" width="21.26953125" customWidth="1"/>
    <col min="2" max="2" width="13.1796875" customWidth="1"/>
    <col min="10" max="10" width="9.1796875" customWidth="1"/>
    <col min="32" max="32" width="14.453125" customWidth="1"/>
  </cols>
  <sheetData>
    <row r="1" spans="1:32" ht="18.5">
      <c r="A1" s="1"/>
      <c r="H1" s="2" t="s">
        <v>0</v>
      </c>
      <c r="I1" s="2"/>
      <c r="J1" s="2" t="s">
        <v>44</v>
      </c>
      <c r="K1" s="3"/>
    </row>
    <row r="2" spans="1:32" ht="18.5">
      <c r="A2" s="2" t="s">
        <v>1</v>
      </c>
      <c r="B2" s="2" t="s">
        <v>2</v>
      </c>
    </row>
    <row r="3" spans="1:32" ht="18.5">
      <c r="A3" s="2" t="s">
        <v>3</v>
      </c>
      <c r="B3" s="2" t="s">
        <v>4</v>
      </c>
    </row>
    <row r="4" spans="1:32" ht="25.5" customHeight="1">
      <c r="A4" s="87" t="s">
        <v>5</v>
      </c>
      <c r="B4" s="89" t="s">
        <v>6</v>
      </c>
      <c r="C4" s="86" t="s">
        <v>7</v>
      </c>
      <c r="D4" s="86"/>
      <c r="E4" s="86"/>
      <c r="F4" s="86"/>
      <c r="G4" s="86"/>
      <c r="H4" s="86" t="s">
        <v>8</v>
      </c>
      <c r="I4" s="86"/>
      <c r="J4" s="86" t="s">
        <v>9</v>
      </c>
      <c r="K4" s="86"/>
      <c r="L4" s="86"/>
      <c r="M4" s="86"/>
      <c r="N4" s="86" t="s">
        <v>10</v>
      </c>
      <c r="O4" s="86"/>
      <c r="P4" s="86" t="s">
        <v>11</v>
      </c>
      <c r="Q4" s="86"/>
      <c r="R4" s="86"/>
      <c r="S4" s="86"/>
      <c r="T4" s="86" t="s">
        <v>12</v>
      </c>
      <c r="U4" s="86"/>
      <c r="V4" s="80" t="s">
        <v>13</v>
      </c>
      <c r="W4" s="80" t="s">
        <v>14</v>
      </c>
      <c r="X4" s="86" t="s">
        <v>15</v>
      </c>
      <c r="Y4" s="86"/>
      <c r="Z4" s="91" t="s">
        <v>16</v>
      </c>
      <c r="AA4" s="92"/>
      <c r="AB4" s="93"/>
      <c r="AC4" s="80" t="s">
        <v>17</v>
      </c>
      <c r="AD4" s="80" t="s">
        <v>18</v>
      </c>
      <c r="AE4" s="66" t="s">
        <v>19</v>
      </c>
      <c r="AF4" s="79" t="s">
        <v>79</v>
      </c>
    </row>
    <row r="5" spans="1:32" ht="80.25" customHeight="1" thickBot="1">
      <c r="A5" s="88"/>
      <c r="B5" s="90"/>
      <c r="C5" s="6" t="s">
        <v>20</v>
      </c>
      <c r="D5" s="6" t="s">
        <v>21</v>
      </c>
      <c r="E5" s="6" t="s">
        <v>22</v>
      </c>
      <c r="F5" s="6" t="s">
        <v>23</v>
      </c>
      <c r="G5" s="6" t="s">
        <v>24</v>
      </c>
      <c r="H5" s="6" t="s">
        <v>25</v>
      </c>
      <c r="I5" s="6" t="s">
        <v>26</v>
      </c>
      <c r="J5" s="6" t="s">
        <v>27</v>
      </c>
      <c r="K5" s="6" t="s">
        <v>28</v>
      </c>
      <c r="L5" s="6" t="s">
        <v>29</v>
      </c>
      <c r="M5" s="6" t="s">
        <v>30</v>
      </c>
      <c r="N5" s="6" t="s">
        <v>31</v>
      </c>
      <c r="O5" s="6" t="s">
        <v>32</v>
      </c>
      <c r="P5" s="6" t="s">
        <v>33</v>
      </c>
      <c r="Q5" s="6" t="s">
        <v>34</v>
      </c>
      <c r="R5" s="6" t="s">
        <v>35</v>
      </c>
      <c r="S5" s="6" t="s">
        <v>36</v>
      </c>
      <c r="T5" s="6" t="s">
        <v>37</v>
      </c>
      <c r="U5" s="6" t="s">
        <v>38</v>
      </c>
      <c r="V5" s="81"/>
      <c r="W5" s="81"/>
      <c r="X5" s="6" t="s">
        <v>39</v>
      </c>
      <c r="Y5" s="6" t="s">
        <v>40</v>
      </c>
      <c r="Z5" s="6" t="s">
        <v>80</v>
      </c>
      <c r="AA5" s="6" t="s">
        <v>81</v>
      </c>
      <c r="AB5" s="49" t="s">
        <v>82</v>
      </c>
      <c r="AC5" s="81"/>
      <c r="AD5" s="81"/>
      <c r="AE5" s="82"/>
      <c r="AF5" s="79"/>
    </row>
    <row r="6" spans="1:32" ht="22.5" customHeight="1" thickTop="1">
      <c r="A6" s="94" t="s">
        <v>54</v>
      </c>
      <c r="B6" s="5" t="s">
        <v>41</v>
      </c>
      <c r="C6" s="38">
        <f>SUM(C11,C14,C17,C20,C23,C26,C29,C32,C35,C38,C41,C44,C47,C50,C53,C56,C59,C62,C65,C68,C71,C74,C77,C80,C83,C86,C89,C92,C95,C98,C101)</f>
        <v>0</v>
      </c>
      <c r="D6" s="38">
        <f t="shared" ref="D6:AC6" si="0">SUM(D11,D14,D17,D20,D23,D26,D29,D32,D35,D38,D41,D44,D47,D50,D53,D56,D59,D62,D65,D68,D71,D74,D77,D80,D83,D86,D89,D92,D95,D98,D101)</f>
        <v>0</v>
      </c>
      <c r="E6" s="38">
        <f t="shared" si="0"/>
        <v>0</v>
      </c>
      <c r="F6" s="38">
        <f t="shared" si="0"/>
        <v>0</v>
      </c>
      <c r="G6" s="38">
        <f t="shared" si="0"/>
        <v>0</v>
      </c>
      <c r="H6" s="38">
        <f t="shared" si="0"/>
        <v>0</v>
      </c>
      <c r="I6" s="38">
        <f t="shared" si="0"/>
        <v>0</v>
      </c>
      <c r="J6" s="38">
        <f t="shared" si="0"/>
        <v>0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0</v>
      </c>
      <c r="P6" s="38">
        <f t="shared" si="0"/>
        <v>0</v>
      </c>
      <c r="Q6" s="38">
        <f t="shared" si="0"/>
        <v>0</v>
      </c>
      <c r="R6" s="38">
        <f t="shared" si="0"/>
        <v>0</v>
      </c>
      <c r="S6" s="38">
        <f t="shared" si="0"/>
        <v>0</v>
      </c>
      <c r="T6" s="38">
        <f t="shared" si="0"/>
        <v>0</v>
      </c>
      <c r="U6" s="38">
        <f t="shared" si="0"/>
        <v>0</v>
      </c>
      <c r="V6" s="38">
        <f t="shared" si="0"/>
        <v>0</v>
      </c>
      <c r="W6" s="38">
        <f t="shared" si="0"/>
        <v>0</v>
      </c>
      <c r="X6" s="38">
        <f t="shared" si="0"/>
        <v>0</v>
      </c>
      <c r="Y6" s="38">
        <f t="shared" si="0"/>
        <v>0</v>
      </c>
      <c r="Z6" s="50">
        <f>SUM(Z11,Z14,Z17,Z20,Z23,Z26,Z29,Z32,Z35,Z38,Z41,Z44,Z47,Z50,Z53,Z56,Z59,Z62,Z65,Z68,Z71,Z74,Z77,Z80,Z83,Z86,Z89,Z92,Z95,Z98,Z101)</f>
        <v>0</v>
      </c>
      <c r="AA6" s="50">
        <f>SUM(AA11,AA14,AA17,AA20,AA23,AA26,AA29,AA32,AA35,AA38,AA41,AA44,AA47,AA50,AA53,AA56,AA59,AA62,AA65,AA68,AA71,AA74,AA77,AA80,AA83,AA86,AA89,AA92,AA95,AA98,AA101)</f>
        <v>0</v>
      </c>
      <c r="AB6" s="50">
        <f>SUM(AB11,AB14,AB17,AB20,AB23,AB26,AB29,AB32,AB35,AB38,AB41,AB44,AB47,AB50,AB53,AB56,AB59,AB62,AB65,AB68,AB71,AB74,AB77,AB80,AB83,AB86,AB89,AB92,AB95,AB98,AB101)</f>
        <v>0</v>
      </c>
      <c r="AC6" s="38">
        <f t="shared" si="0"/>
        <v>0</v>
      </c>
      <c r="AD6" s="5">
        <f>SUM(C6:AC6)</f>
        <v>0</v>
      </c>
      <c r="AE6" s="5">
        <f>SUM(J6:U6)</f>
        <v>0</v>
      </c>
      <c r="AF6" s="78" t="e">
        <f>(AE6+AE7+AE8)/(AD6+AD7+AD8-Z9)*100</f>
        <v>#DIV/0!</v>
      </c>
    </row>
    <row r="7" spans="1:32" ht="22.5" customHeight="1">
      <c r="A7" s="95"/>
      <c r="B7" s="4" t="s">
        <v>42</v>
      </c>
      <c r="C7" s="4">
        <f>SUM(C12,C15,C18,C21,C24,C27,C30,C33,C36,C39,C42,C45,C48,C51,C54,C57,C60,C63,C66,C69,C72,C75,C78,C81,C84,C87,C90,C93,C96,C99,C102)</f>
        <v>0</v>
      </c>
      <c r="D7" s="4">
        <f t="shared" ref="D7:AC8" si="1">SUM(D12,D15,D18,D21,D24,D27,D30,D33,D36,D39,D42,D45,D48,D51,D54,D57,D60,D63,D66,D69,D72,D75,D78,D81,D84,D87,D90,D93,D96,D99,D102)</f>
        <v>0</v>
      </c>
      <c r="E7" s="4">
        <f t="shared" si="1"/>
        <v>0</v>
      </c>
      <c r="F7" s="4">
        <f t="shared" si="1"/>
        <v>0</v>
      </c>
      <c r="G7" s="4">
        <f t="shared" si="1"/>
        <v>0</v>
      </c>
      <c r="H7" s="4">
        <f t="shared" si="1"/>
        <v>0</v>
      </c>
      <c r="I7" s="4">
        <f t="shared" si="1"/>
        <v>0</v>
      </c>
      <c r="J7" s="4">
        <f t="shared" si="1"/>
        <v>0</v>
      </c>
      <c r="K7" s="4">
        <f t="shared" si="1"/>
        <v>0</v>
      </c>
      <c r="L7" s="4">
        <f t="shared" si="1"/>
        <v>0</v>
      </c>
      <c r="M7" s="4">
        <f t="shared" si="1"/>
        <v>0</v>
      </c>
      <c r="N7" s="4">
        <f t="shared" si="1"/>
        <v>0</v>
      </c>
      <c r="O7" s="4">
        <f t="shared" si="1"/>
        <v>0</v>
      </c>
      <c r="P7" s="4">
        <f t="shared" si="1"/>
        <v>0</v>
      </c>
      <c r="Q7" s="4">
        <f t="shared" si="1"/>
        <v>0</v>
      </c>
      <c r="R7" s="4">
        <f t="shared" si="1"/>
        <v>0</v>
      </c>
      <c r="S7" s="4">
        <f t="shared" si="1"/>
        <v>0</v>
      </c>
      <c r="T7" s="4">
        <f t="shared" si="1"/>
        <v>0</v>
      </c>
      <c r="U7" s="4">
        <f t="shared" si="1"/>
        <v>0</v>
      </c>
      <c r="V7" s="4">
        <f t="shared" si="1"/>
        <v>0</v>
      </c>
      <c r="W7" s="4">
        <f t="shared" si="1"/>
        <v>0</v>
      </c>
      <c r="X7" s="4">
        <f t="shared" si="1"/>
        <v>0</v>
      </c>
      <c r="Y7" s="4">
        <f t="shared" si="1"/>
        <v>0</v>
      </c>
      <c r="Z7" s="51">
        <f t="shared" si="1"/>
        <v>0</v>
      </c>
      <c r="AA7" s="51">
        <f t="shared" si="1"/>
        <v>0</v>
      </c>
      <c r="AB7" s="51">
        <f>SUM(AB12,AB15,AB18,AB21,AB24,AB27,AB30,AB33,AB36,AB39,AB42,AB45,AB48,AB51,AB54,AB57,AB60,AB63,AB66,AB69,AB72,AB75,AB78,AB81,AB84,AB87,AB90,AB93,AB96,AB99,AB102)</f>
        <v>0</v>
      </c>
      <c r="AC7" s="4">
        <f t="shared" si="1"/>
        <v>0</v>
      </c>
      <c r="AD7" s="4">
        <f t="shared" ref="AD7:AD8" si="2">SUM(C7:AC7)</f>
        <v>0</v>
      </c>
      <c r="AE7" s="4">
        <f t="shared" ref="AE7:AE8" si="3">SUM(J7:U7)</f>
        <v>0</v>
      </c>
      <c r="AF7" s="78"/>
    </row>
    <row r="8" spans="1:32" ht="22.5" customHeight="1" thickBot="1">
      <c r="A8" s="96"/>
      <c r="B8" s="7" t="s">
        <v>43</v>
      </c>
      <c r="C8" s="37">
        <f>SUM(C13,C16,C19,C22,C25,C28,C31,C34,C37,C40,C43,C46,C49,C52,C55,C58,C61,C64,C67,C70,C73,C76,C79,C82,C85,C88,C91,C94,C97,C100,C103)</f>
        <v>0</v>
      </c>
      <c r="D8" s="37">
        <f t="shared" ref="D8:AC8" si="4">SUM(D13,D16,D19,D22,D25,D28,D31,D34,D37,D40,D43,D46,D49,D52,D55,D58,D61,D64,D67,D70,D73,D76,D79,D82,D85,D88,D91,D94,D97,D100,D103)</f>
        <v>0</v>
      </c>
      <c r="E8" s="37">
        <f t="shared" si="4"/>
        <v>0</v>
      </c>
      <c r="F8" s="37">
        <f t="shared" si="4"/>
        <v>0</v>
      </c>
      <c r="G8" s="37">
        <f t="shared" si="4"/>
        <v>0</v>
      </c>
      <c r="H8" s="37">
        <f t="shared" si="4"/>
        <v>0</v>
      </c>
      <c r="I8" s="37">
        <f t="shared" si="4"/>
        <v>0</v>
      </c>
      <c r="J8" s="37">
        <f t="shared" si="4"/>
        <v>0</v>
      </c>
      <c r="K8" s="37">
        <f t="shared" si="4"/>
        <v>0</v>
      </c>
      <c r="L8" s="37">
        <f t="shared" si="4"/>
        <v>0</v>
      </c>
      <c r="M8" s="37">
        <f t="shared" si="4"/>
        <v>0</v>
      </c>
      <c r="N8" s="37">
        <f t="shared" si="4"/>
        <v>0</v>
      </c>
      <c r="O8" s="37">
        <f t="shared" si="4"/>
        <v>0</v>
      </c>
      <c r="P8" s="37">
        <f t="shared" si="4"/>
        <v>0</v>
      </c>
      <c r="Q8" s="37">
        <f t="shared" si="4"/>
        <v>0</v>
      </c>
      <c r="R8" s="37">
        <f t="shared" si="4"/>
        <v>0</v>
      </c>
      <c r="S8" s="37">
        <f t="shared" si="4"/>
        <v>0</v>
      </c>
      <c r="T8" s="37">
        <f t="shared" si="4"/>
        <v>0</v>
      </c>
      <c r="U8" s="37">
        <f t="shared" si="4"/>
        <v>0</v>
      </c>
      <c r="V8" s="37">
        <f t="shared" si="4"/>
        <v>0</v>
      </c>
      <c r="W8" s="37">
        <f t="shared" si="4"/>
        <v>0</v>
      </c>
      <c r="X8" s="37">
        <f t="shared" si="4"/>
        <v>0</v>
      </c>
      <c r="Y8" s="37">
        <f t="shared" si="4"/>
        <v>0</v>
      </c>
      <c r="Z8" s="52">
        <f t="shared" si="1"/>
        <v>0</v>
      </c>
      <c r="AA8" s="52">
        <f t="shared" si="1"/>
        <v>0</v>
      </c>
      <c r="AB8" s="52">
        <f>SUM(AB13,AB16,AB19,AB22,AB25,AB28,AB31,AB34,AB37,AB40,AB43,AB46,AB49,AB52,AB55,AB58,AB61,AB64,AB67,AB70,AB73,AB76,AB79,AB82,AB85,AB88,AB91,AB94,AB97,AB100,AB103)</f>
        <v>0</v>
      </c>
      <c r="AC8" s="37">
        <f t="shared" si="4"/>
        <v>0</v>
      </c>
      <c r="AD8" s="7">
        <f t="shared" si="2"/>
        <v>0</v>
      </c>
      <c r="AE8" s="7">
        <f t="shared" si="3"/>
        <v>0</v>
      </c>
      <c r="AF8" s="78"/>
    </row>
    <row r="9" spans="1:32" ht="15.5" thickTop="1" thickBot="1">
      <c r="Z9" s="83">
        <f>SUM(Z6:AB8)</f>
        <v>0</v>
      </c>
      <c r="AA9" s="84"/>
      <c r="AB9" s="85"/>
    </row>
    <row r="10" spans="1:32" ht="15" thickTop="1"/>
    <row r="11" spans="1:32">
      <c r="A11" s="63">
        <v>1</v>
      </c>
      <c r="B11" s="31"/>
      <c r="C11" s="28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32"/>
      <c r="AD11" s="40">
        <f>SUM(C11:AC11)</f>
        <v>0</v>
      </c>
      <c r="AE11" s="31">
        <f>SUM(J11:U11)</f>
        <v>0</v>
      </c>
    </row>
    <row r="12" spans="1:32">
      <c r="A12" s="63"/>
      <c r="B12" s="31"/>
      <c r="C12" s="29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3"/>
      <c r="AD12" s="40">
        <f t="shared" ref="AD12:AD75" si="5">SUM(C12:AC12)</f>
        <v>0</v>
      </c>
      <c r="AE12" s="31">
        <f t="shared" ref="AE12:AE75" si="6">SUM(J12:U12)</f>
        <v>0</v>
      </c>
    </row>
    <row r="13" spans="1:32" ht="15" thickBot="1">
      <c r="A13" s="63"/>
      <c r="B13" s="31"/>
      <c r="C13" s="30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34"/>
      <c r="AD13" s="40">
        <f t="shared" si="5"/>
        <v>0</v>
      </c>
      <c r="AE13" s="31">
        <f t="shared" si="6"/>
        <v>0</v>
      </c>
    </row>
    <row r="14" spans="1:32" ht="15" thickTop="1">
      <c r="A14" s="63">
        <v>2</v>
      </c>
      <c r="B14" s="31"/>
      <c r="C14" s="28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32"/>
      <c r="AD14" s="40">
        <f t="shared" si="5"/>
        <v>0</v>
      </c>
      <c r="AE14" s="31">
        <f t="shared" si="6"/>
        <v>0</v>
      </c>
    </row>
    <row r="15" spans="1:32">
      <c r="A15" s="63"/>
      <c r="B15" s="31"/>
      <c r="C15" s="2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3"/>
      <c r="AD15" s="40">
        <f t="shared" si="5"/>
        <v>0</v>
      </c>
      <c r="AE15" s="31">
        <f t="shared" si="6"/>
        <v>0</v>
      </c>
    </row>
    <row r="16" spans="1:32" ht="15" thickBot="1">
      <c r="A16" s="63"/>
      <c r="B16" s="31"/>
      <c r="C16" s="30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34"/>
      <c r="AD16" s="40">
        <f t="shared" si="5"/>
        <v>0</v>
      </c>
      <c r="AE16" s="31">
        <f t="shared" si="6"/>
        <v>0</v>
      </c>
    </row>
    <row r="17" spans="1:31" ht="15" thickTop="1">
      <c r="A17" s="63">
        <v>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32"/>
      <c r="AD17" s="40">
        <f t="shared" si="5"/>
        <v>0</v>
      </c>
      <c r="AE17" s="31">
        <f t="shared" si="6"/>
        <v>0</v>
      </c>
    </row>
    <row r="18" spans="1:31">
      <c r="A18" s="6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3"/>
      <c r="AD18" s="40">
        <f t="shared" si="5"/>
        <v>0</v>
      </c>
      <c r="AE18" s="31">
        <f t="shared" si="6"/>
        <v>0</v>
      </c>
    </row>
    <row r="19" spans="1:31" ht="15" thickBot="1">
      <c r="A19" s="6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34"/>
      <c r="AD19" s="40">
        <f t="shared" si="5"/>
        <v>0</v>
      </c>
      <c r="AE19" s="31">
        <f t="shared" si="6"/>
        <v>0</v>
      </c>
    </row>
    <row r="20" spans="1:31" ht="15" thickTop="1">
      <c r="A20" s="63">
        <v>4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32"/>
      <c r="AD20" s="40">
        <f t="shared" si="5"/>
        <v>0</v>
      </c>
      <c r="AE20" s="31">
        <f t="shared" si="6"/>
        <v>0</v>
      </c>
    </row>
    <row r="21" spans="1:31">
      <c r="A21" s="6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3"/>
      <c r="AD21" s="40">
        <f t="shared" si="5"/>
        <v>0</v>
      </c>
      <c r="AE21" s="31">
        <f t="shared" si="6"/>
        <v>0</v>
      </c>
    </row>
    <row r="22" spans="1:31" ht="15" thickBot="1">
      <c r="A22" s="6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34"/>
      <c r="AD22" s="40">
        <f t="shared" si="5"/>
        <v>0</v>
      </c>
      <c r="AE22" s="31">
        <f t="shared" si="6"/>
        <v>0</v>
      </c>
    </row>
    <row r="23" spans="1:31" ht="15" thickTop="1">
      <c r="A23" s="63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32"/>
      <c r="AD23" s="40">
        <f t="shared" si="5"/>
        <v>0</v>
      </c>
      <c r="AE23" s="31">
        <f t="shared" si="6"/>
        <v>0</v>
      </c>
    </row>
    <row r="24" spans="1:31">
      <c r="A24" s="6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3"/>
      <c r="AD24" s="40">
        <f t="shared" si="5"/>
        <v>0</v>
      </c>
      <c r="AE24" s="31">
        <f t="shared" si="6"/>
        <v>0</v>
      </c>
    </row>
    <row r="25" spans="1:31" ht="15" thickBot="1">
      <c r="A25" s="6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34"/>
      <c r="AD25" s="40">
        <f t="shared" si="5"/>
        <v>0</v>
      </c>
      <c r="AE25" s="31">
        <f t="shared" si="6"/>
        <v>0</v>
      </c>
    </row>
    <row r="26" spans="1:31" ht="15" thickTop="1">
      <c r="A26" s="63">
        <v>6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32"/>
      <c r="AD26" s="40">
        <f t="shared" si="5"/>
        <v>0</v>
      </c>
      <c r="AE26" s="31">
        <f t="shared" si="6"/>
        <v>0</v>
      </c>
    </row>
    <row r="27" spans="1:31">
      <c r="A27" s="6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3"/>
      <c r="AD27" s="40">
        <f t="shared" si="5"/>
        <v>0</v>
      </c>
      <c r="AE27" s="31">
        <f t="shared" si="6"/>
        <v>0</v>
      </c>
    </row>
    <row r="28" spans="1:31" ht="15" thickBot="1">
      <c r="A28" s="63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34"/>
      <c r="AD28" s="40">
        <f t="shared" si="5"/>
        <v>0</v>
      </c>
      <c r="AE28" s="31">
        <f t="shared" si="6"/>
        <v>0</v>
      </c>
    </row>
    <row r="29" spans="1:31" ht="15" thickTop="1">
      <c r="A29" s="63">
        <v>7</v>
      </c>
      <c r="C29" s="2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32"/>
      <c r="AD29" s="40">
        <f t="shared" si="5"/>
        <v>0</v>
      </c>
      <c r="AE29" s="31">
        <f t="shared" si="6"/>
        <v>0</v>
      </c>
    </row>
    <row r="30" spans="1:31">
      <c r="A30" s="63"/>
      <c r="C30" s="29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3"/>
      <c r="AD30" s="40">
        <f t="shared" si="5"/>
        <v>0</v>
      </c>
      <c r="AE30" s="31">
        <f t="shared" si="6"/>
        <v>0</v>
      </c>
    </row>
    <row r="31" spans="1:31" ht="15" thickBot="1">
      <c r="A31" s="63"/>
      <c r="C31" s="30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34"/>
      <c r="AD31" s="40">
        <f t="shared" si="5"/>
        <v>0</v>
      </c>
      <c r="AE31" s="31">
        <f t="shared" si="6"/>
        <v>0</v>
      </c>
    </row>
    <row r="32" spans="1:31" ht="15" thickTop="1">
      <c r="A32" s="63">
        <v>8</v>
      </c>
      <c r="C32" s="2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32"/>
      <c r="AD32" s="40">
        <f t="shared" si="5"/>
        <v>0</v>
      </c>
      <c r="AE32" s="31">
        <f t="shared" si="6"/>
        <v>0</v>
      </c>
    </row>
    <row r="33" spans="1:31">
      <c r="A33" s="63"/>
      <c r="C33" s="29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33"/>
      <c r="AD33" s="40">
        <f t="shared" si="5"/>
        <v>0</v>
      </c>
      <c r="AE33" s="31">
        <f t="shared" si="6"/>
        <v>0</v>
      </c>
    </row>
    <row r="34" spans="1:31" ht="15" thickBot="1">
      <c r="A34" s="63"/>
      <c r="C34" s="30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34"/>
      <c r="AD34" s="40">
        <f t="shared" si="5"/>
        <v>0</v>
      </c>
      <c r="AE34" s="31">
        <f t="shared" si="6"/>
        <v>0</v>
      </c>
    </row>
    <row r="35" spans="1:31" ht="15" thickTop="1">
      <c r="A35" s="63">
        <v>9</v>
      </c>
      <c r="C35" s="2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2"/>
      <c r="AD35" s="40">
        <f t="shared" si="5"/>
        <v>0</v>
      </c>
      <c r="AE35" s="31">
        <f t="shared" si="6"/>
        <v>0</v>
      </c>
    </row>
    <row r="36" spans="1:31">
      <c r="A36" s="63"/>
      <c r="C36" s="29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33"/>
      <c r="AD36" s="40">
        <f t="shared" si="5"/>
        <v>0</v>
      </c>
      <c r="AE36" s="31">
        <f t="shared" si="6"/>
        <v>0</v>
      </c>
    </row>
    <row r="37" spans="1:31" ht="15" thickBot="1">
      <c r="A37" s="63"/>
      <c r="C37" s="30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34"/>
      <c r="AD37" s="40">
        <f t="shared" si="5"/>
        <v>0</v>
      </c>
      <c r="AE37" s="31">
        <f t="shared" si="6"/>
        <v>0</v>
      </c>
    </row>
    <row r="38" spans="1:31" ht="15" thickTop="1">
      <c r="A38" s="63">
        <v>10</v>
      </c>
      <c r="C38" s="2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32"/>
      <c r="AD38" s="40">
        <f t="shared" si="5"/>
        <v>0</v>
      </c>
      <c r="AE38" s="31">
        <f t="shared" si="6"/>
        <v>0</v>
      </c>
    </row>
    <row r="39" spans="1:31">
      <c r="A39" s="63"/>
      <c r="C39" s="29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33"/>
      <c r="AD39" s="40">
        <f t="shared" si="5"/>
        <v>0</v>
      </c>
      <c r="AE39" s="31">
        <f t="shared" si="6"/>
        <v>0</v>
      </c>
    </row>
    <row r="40" spans="1:31" ht="15" thickBot="1">
      <c r="A40" s="63"/>
      <c r="C40" s="3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34"/>
      <c r="AD40" s="40">
        <f t="shared" si="5"/>
        <v>0</v>
      </c>
      <c r="AE40" s="31">
        <f t="shared" si="6"/>
        <v>0</v>
      </c>
    </row>
    <row r="41" spans="1:31" ht="15" thickTop="1">
      <c r="A41" s="63">
        <v>11</v>
      </c>
      <c r="C41" s="2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32"/>
      <c r="AD41" s="40">
        <f t="shared" si="5"/>
        <v>0</v>
      </c>
      <c r="AE41" s="31">
        <f t="shared" si="6"/>
        <v>0</v>
      </c>
    </row>
    <row r="42" spans="1:31">
      <c r="A42" s="63"/>
      <c r="C42" s="2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33"/>
      <c r="AD42" s="40">
        <f t="shared" si="5"/>
        <v>0</v>
      </c>
      <c r="AE42" s="31">
        <f t="shared" si="6"/>
        <v>0</v>
      </c>
    </row>
    <row r="43" spans="1:31" ht="15" thickBot="1">
      <c r="A43" s="63"/>
      <c r="C43" s="30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34"/>
      <c r="AD43" s="40">
        <f t="shared" si="5"/>
        <v>0</v>
      </c>
      <c r="AE43" s="31">
        <f t="shared" si="6"/>
        <v>0</v>
      </c>
    </row>
    <row r="44" spans="1:31" ht="15" thickTop="1">
      <c r="A44" s="63">
        <v>12</v>
      </c>
      <c r="C44" s="2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32"/>
      <c r="AD44" s="40">
        <f t="shared" si="5"/>
        <v>0</v>
      </c>
      <c r="AE44" s="31">
        <f t="shared" si="6"/>
        <v>0</v>
      </c>
    </row>
    <row r="45" spans="1:31">
      <c r="A45" s="63"/>
      <c r="C45" s="2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33"/>
      <c r="AD45" s="40">
        <f t="shared" si="5"/>
        <v>0</v>
      </c>
      <c r="AE45" s="31">
        <f t="shared" si="6"/>
        <v>0</v>
      </c>
    </row>
    <row r="46" spans="1:31" ht="15" thickBot="1">
      <c r="A46" s="63"/>
      <c r="C46" s="30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34"/>
      <c r="AD46" s="40">
        <f t="shared" si="5"/>
        <v>0</v>
      </c>
      <c r="AE46" s="31">
        <f t="shared" si="6"/>
        <v>0</v>
      </c>
    </row>
    <row r="47" spans="1:31" ht="15" thickTop="1">
      <c r="A47" s="63">
        <v>13</v>
      </c>
      <c r="C47" s="2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32"/>
      <c r="AD47" s="40">
        <f t="shared" si="5"/>
        <v>0</v>
      </c>
      <c r="AE47" s="31">
        <f t="shared" si="6"/>
        <v>0</v>
      </c>
    </row>
    <row r="48" spans="1:31">
      <c r="A48" s="63"/>
      <c r="C48" s="2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33"/>
      <c r="AD48" s="40">
        <f t="shared" si="5"/>
        <v>0</v>
      </c>
      <c r="AE48" s="31">
        <f t="shared" si="6"/>
        <v>0</v>
      </c>
    </row>
    <row r="49" spans="1:31" ht="15" thickBot="1">
      <c r="A49" s="63"/>
      <c r="C49" s="30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34"/>
      <c r="AD49" s="40">
        <f t="shared" si="5"/>
        <v>0</v>
      </c>
      <c r="AE49" s="31">
        <f t="shared" si="6"/>
        <v>0</v>
      </c>
    </row>
    <row r="50" spans="1:31" ht="15" thickTop="1">
      <c r="A50" s="63">
        <v>14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32"/>
      <c r="AD50" s="40">
        <f t="shared" si="5"/>
        <v>0</v>
      </c>
      <c r="AE50" s="31">
        <f t="shared" si="6"/>
        <v>0</v>
      </c>
    </row>
    <row r="51" spans="1:31">
      <c r="A51" s="6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33"/>
      <c r="AD51" s="40">
        <f t="shared" si="5"/>
        <v>0</v>
      </c>
      <c r="AE51" s="31">
        <f t="shared" si="6"/>
        <v>0</v>
      </c>
    </row>
    <row r="52" spans="1:31" ht="15" thickBot="1">
      <c r="A52" s="6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34"/>
      <c r="AD52" s="40">
        <f t="shared" si="5"/>
        <v>0</v>
      </c>
      <c r="AE52" s="31">
        <f t="shared" si="6"/>
        <v>0</v>
      </c>
    </row>
    <row r="53" spans="1:31" ht="15" thickTop="1">
      <c r="A53" s="63">
        <v>15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32"/>
      <c r="AD53" s="40">
        <f t="shared" si="5"/>
        <v>0</v>
      </c>
      <c r="AE53" s="31">
        <f t="shared" si="6"/>
        <v>0</v>
      </c>
    </row>
    <row r="54" spans="1:31">
      <c r="A54" s="6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33"/>
      <c r="AD54" s="40">
        <f t="shared" si="5"/>
        <v>0</v>
      </c>
      <c r="AE54" s="31">
        <f t="shared" si="6"/>
        <v>0</v>
      </c>
    </row>
    <row r="55" spans="1:31" ht="15" thickBot="1">
      <c r="A55" s="6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34"/>
      <c r="AD55" s="40">
        <f t="shared" si="5"/>
        <v>0</v>
      </c>
      <c r="AE55" s="31">
        <f t="shared" si="6"/>
        <v>0</v>
      </c>
    </row>
    <row r="56" spans="1:31" ht="15" thickTop="1">
      <c r="A56" s="63">
        <v>16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32"/>
      <c r="AD56" s="40">
        <f t="shared" si="5"/>
        <v>0</v>
      </c>
      <c r="AE56" s="31">
        <f t="shared" si="6"/>
        <v>0</v>
      </c>
    </row>
    <row r="57" spans="1:31">
      <c r="A57" s="6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3"/>
      <c r="AD57" s="40">
        <f t="shared" si="5"/>
        <v>0</v>
      </c>
      <c r="AE57" s="31">
        <f t="shared" si="6"/>
        <v>0</v>
      </c>
    </row>
    <row r="58" spans="1:31" ht="15" thickBot="1">
      <c r="A58" s="6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34"/>
      <c r="AD58" s="40">
        <f t="shared" si="5"/>
        <v>0</v>
      </c>
      <c r="AE58" s="31">
        <f t="shared" si="6"/>
        <v>0</v>
      </c>
    </row>
    <row r="59" spans="1:31" ht="15" thickTop="1">
      <c r="A59" s="63">
        <v>17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32"/>
      <c r="AD59" s="40">
        <f t="shared" si="5"/>
        <v>0</v>
      </c>
      <c r="AE59" s="31">
        <f t="shared" si="6"/>
        <v>0</v>
      </c>
    </row>
    <row r="60" spans="1:31">
      <c r="A60" s="6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3"/>
      <c r="AD60" s="40">
        <f t="shared" si="5"/>
        <v>0</v>
      </c>
      <c r="AE60" s="31">
        <f t="shared" si="6"/>
        <v>0</v>
      </c>
    </row>
    <row r="61" spans="1:31" ht="15" thickBot="1">
      <c r="A61" s="6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34"/>
      <c r="AD61" s="40">
        <f t="shared" si="5"/>
        <v>0</v>
      </c>
      <c r="AE61" s="31">
        <f t="shared" si="6"/>
        <v>0</v>
      </c>
    </row>
    <row r="62" spans="1:31" ht="15" thickTop="1">
      <c r="A62" s="63">
        <v>18</v>
      </c>
      <c r="C62" s="2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32"/>
      <c r="AD62" s="40">
        <f t="shared" si="5"/>
        <v>0</v>
      </c>
      <c r="AE62" s="31">
        <f t="shared" si="6"/>
        <v>0</v>
      </c>
    </row>
    <row r="63" spans="1:31">
      <c r="A63" s="63"/>
      <c r="C63" s="2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3"/>
      <c r="AD63" s="40">
        <f t="shared" si="5"/>
        <v>0</v>
      </c>
      <c r="AE63" s="31">
        <f t="shared" si="6"/>
        <v>0</v>
      </c>
    </row>
    <row r="64" spans="1:31" ht="15" thickBot="1">
      <c r="A64" s="63"/>
      <c r="C64" s="30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34"/>
      <c r="AD64" s="40">
        <f t="shared" si="5"/>
        <v>0</v>
      </c>
      <c r="AE64" s="31">
        <f t="shared" si="6"/>
        <v>0</v>
      </c>
    </row>
    <row r="65" spans="1:31" ht="15" thickTop="1">
      <c r="A65" s="63">
        <v>19</v>
      </c>
      <c r="C65" s="28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32"/>
      <c r="AD65" s="40">
        <f t="shared" si="5"/>
        <v>0</v>
      </c>
      <c r="AE65" s="31">
        <f t="shared" si="6"/>
        <v>0</v>
      </c>
    </row>
    <row r="66" spans="1:31">
      <c r="A66" s="63"/>
      <c r="C66" s="2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33"/>
      <c r="AD66" s="40">
        <f t="shared" si="5"/>
        <v>0</v>
      </c>
      <c r="AE66" s="31">
        <f t="shared" si="6"/>
        <v>0</v>
      </c>
    </row>
    <row r="67" spans="1:31" ht="15" thickBot="1">
      <c r="A67" s="63"/>
      <c r="C67" s="30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34"/>
      <c r="AD67" s="40">
        <f t="shared" si="5"/>
        <v>0</v>
      </c>
      <c r="AE67" s="31">
        <f t="shared" si="6"/>
        <v>0</v>
      </c>
    </row>
    <row r="68" spans="1:31" ht="15" thickTop="1">
      <c r="A68" s="63">
        <v>20</v>
      </c>
      <c r="C68" s="28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32"/>
      <c r="AD68" s="40">
        <f t="shared" si="5"/>
        <v>0</v>
      </c>
      <c r="AE68" s="31">
        <f t="shared" si="6"/>
        <v>0</v>
      </c>
    </row>
    <row r="69" spans="1:31">
      <c r="A69" s="63"/>
      <c r="C69" s="2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33"/>
      <c r="AD69" s="40">
        <f t="shared" si="5"/>
        <v>0</v>
      </c>
      <c r="AE69" s="31">
        <f t="shared" si="6"/>
        <v>0</v>
      </c>
    </row>
    <row r="70" spans="1:31" ht="15" thickBot="1">
      <c r="A70" s="63"/>
      <c r="C70" s="30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34"/>
      <c r="AD70" s="40">
        <f t="shared" si="5"/>
        <v>0</v>
      </c>
      <c r="AE70" s="31">
        <f t="shared" si="6"/>
        <v>0</v>
      </c>
    </row>
    <row r="71" spans="1:31" ht="15" thickTop="1">
      <c r="A71" s="63">
        <v>21</v>
      </c>
      <c r="C71" s="28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32"/>
      <c r="AD71" s="40">
        <f t="shared" si="5"/>
        <v>0</v>
      </c>
      <c r="AE71" s="31">
        <f t="shared" si="6"/>
        <v>0</v>
      </c>
    </row>
    <row r="72" spans="1:31">
      <c r="A72" s="63"/>
      <c r="C72" s="2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33"/>
      <c r="AD72" s="40">
        <f t="shared" si="5"/>
        <v>0</v>
      </c>
      <c r="AE72" s="31">
        <f t="shared" si="6"/>
        <v>0</v>
      </c>
    </row>
    <row r="73" spans="1:31" ht="15" thickBot="1">
      <c r="A73" s="63"/>
      <c r="C73" s="30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34"/>
      <c r="AD73" s="40">
        <f t="shared" si="5"/>
        <v>0</v>
      </c>
      <c r="AE73" s="31">
        <f t="shared" si="6"/>
        <v>0</v>
      </c>
    </row>
    <row r="74" spans="1:31" ht="15" thickTop="1">
      <c r="A74" s="63">
        <v>22</v>
      </c>
      <c r="C74" s="28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32"/>
      <c r="AD74" s="40">
        <f t="shared" si="5"/>
        <v>0</v>
      </c>
      <c r="AE74" s="31">
        <f t="shared" si="6"/>
        <v>0</v>
      </c>
    </row>
    <row r="75" spans="1:31">
      <c r="A75" s="63"/>
      <c r="C75" s="2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3"/>
      <c r="AD75" s="40">
        <f t="shared" si="5"/>
        <v>0</v>
      </c>
      <c r="AE75" s="31">
        <f t="shared" si="6"/>
        <v>0</v>
      </c>
    </row>
    <row r="76" spans="1:31" ht="15" thickBot="1">
      <c r="A76" s="63"/>
      <c r="C76" s="30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34"/>
      <c r="AD76" s="40">
        <f t="shared" ref="AD76:AD103" si="7">SUM(C76:AC76)</f>
        <v>0</v>
      </c>
      <c r="AE76" s="31">
        <f t="shared" ref="AE76:AE103" si="8">SUM(J76:U76)</f>
        <v>0</v>
      </c>
    </row>
    <row r="77" spans="1:31" ht="15" thickTop="1">
      <c r="A77" s="63">
        <v>23</v>
      </c>
      <c r="C77" s="28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32"/>
      <c r="AD77" s="40">
        <f t="shared" si="7"/>
        <v>0</v>
      </c>
      <c r="AE77" s="31">
        <f t="shared" si="8"/>
        <v>0</v>
      </c>
    </row>
    <row r="78" spans="1:31">
      <c r="A78" s="63"/>
      <c r="C78" s="2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3"/>
      <c r="AD78" s="40">
        <f t="shared" si="7"/>
        <v>0</v>
      </c>
      <c r="AE78" s="31">
        <f t="shared" si="8"/>
        <v>0</v>
      </c>
    </row>
    <row r="79" spans="1:31" ht="15" thickBot="1">
      <c r="A79" s="63"/>
      <c r="C79" s="30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34"/>
      <c r="AD79" s="40">
        <f t="shared" si="7"/>
        <v>0</v>
      </c>
      <c r="AE79" s="31">
        <f t="shared" si="8"/>
        <v>0</v>
      </c>
    </row>
    <row r="80" spans="1:31" ht="15" thickTop="1">
      <c r="A80" s="63">
        <v>24</v>
      </c>
      <c r="C80" s="28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32"/>
      <c r="AD80" s="40">
        <f t="shared" si="7"/>
        <v>0</v>
      </c>
      <c r="AE80" s="31">
        <f t="shared" si="8"/>
        <v>0</v>
      </c>
    </row>
    <row r="81" spans="1:31">
      <c r="A81" s="63"/>
      <c r="C81" s="2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3"/>
      <c r="AD81" s="40">
        <f t="shared" si="7"/>
        <v>0</v>
      </c>
      <c r="AE81" s="31">
        <f t="shared" si="8"/>
        <v>0</v>
      </c>
    </row>
    <row r="82" spans="1:31" ht="15" thickBot="1">
      <c r="A82" s="63"/>
      <c r="C82" s="30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34"/>
      <c r="AD82" s="40">
        <f t="shared" si="7"/>
        <v>0</v>
      </c>
      <c r="AE82" s="31">
        <f t="shared" si="8"/>
        <v>0</v>
      </c>
    </row>
    <row r="83" spans="1:31" ht="15" thickTop="1">
      <c r="A83" s="63">
        <v>25</v>
      </c>
      <c r="C83" s="28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32"/>
      <c r="AD83" s="40">
        <f t="shared" si="7"/>
        <v>0</v>
      </c>
      <c r="AE83" s="31">
        <f t="shared" si="8"/>
        <v>0</v>
      </c>
    </row>
    <row r="84" spans="1:31">
      <c r="A84" s="63"/>
      <c r="C84" s="2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33"/>
      <c r="AD84" s="40">
        <f t="shared" si="7"/>
        <v>0</v>
      </c>
      <c r="AE84" s="31">
        <f t="shared" si="8"/>
        <v>0</v>
      </c>
    </row>
    <row r="85" spans="1:31" ht="15" thickBot="1">
      <c r="A85" s="63"/>
      <c r="C85" s="30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34"/>
      <c r="AD85" s="40">
        <f t="shared" si="7"/>
        <v>0</v>
      </c>
      <c r="AE85" s="31">
        <f t="shared" si="8"/>
        <v>0</v>
      </c>
    </row>
    <row r="86" spans="1:31" ht="15" thickTop="1">
      <c r="A86" s="63">
        <v>26</v>
      </c>
      <c r="C86" s="28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32"/>
      <c r="AD86" s="40">
        <f t="shared" si="7"/>
        <v>0</v>
      </c>
      <c r="AE86" s="31">
        <f t="shared" si="8"/>
        <v>0</v>
      </c>
    </row>
    <row r="87" spans="1:31">
      <c r="A87" s="63"/>
      <c r="C87" s="2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3"/>
      <c r="AD87" s="40">
        <f t="shared" si="7"/>
        <v>0</v>
      </c>
      <c r="AE87" s="31">
        <f t="shared" si="8"/>
        <v>0</v>
      </c>
    </row>
    <row r="88" spans="1:31" ht="15" thickBot="1">
      <c r="A88" s="63"/>
      <c r="C88" s="30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34"/>
      <c r="AD88" s="40">
        <f t="shared" si="7"/>
        <v>0</v>
      </c>
      <c r="AE88" s="31">
        <f t="shared" si="8"/>
        <v>0</v>
      </c>
    </row>
    <row r="89" spans="1:31" ht="15" thickTop="1">
      <c r="A89" s="63">
        <v>27</v>
      </c>
      <c r="C89" s="28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32"/>
      <c r="AD89" s="40">
        <f t="shared" si="7"/>
        <v>0</v>
      </c>
      <c r="AE89" s="31">
        <f t="shared" si="8"/>
        <v>0</v>
      </c>
    </row>
    <row r="90" spans="1:31">
      <c r="A90" s="63"/>
      <c r="C90" s="2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3"/>
      <c r="AD90" s="40">
        <f t="shared" si="7"/>
        <v>0</v>
      </c>
      <c r="AE90" s="31">
        <f t="shared" si="8"/>
        <v>0</v>
      </c>
    </row>
    <row r="91" spans="1:31" ht="15" thickBot="1">
      <c r="A91" s="63"/>
      <c r="C91" s="30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34"/>
      <c r="AD91" s="40">
        <f t="shared" si="7"/>
        <v>0</v>
      </c>
      <c r="AE91" s="31">
        <f t="shared" si="8"/>
        <v>0</v>
      </c>
    </row>
    <row r="92" spans="1:31" ht="15" thickTop="1">
      <c r="A92" s="63">
        <v>28</v>
      </c>
      <c r="C92" s="28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32"/>
      <c r="AD92" s="40">
        <f t="shared" si="7"/>
        <v>0</v>
      </c>
      <c r="AE92" s="31">
        <f t="shared" si="8"/>
        <v>0</v>
      </c>
    </row>
    <row r="93" spans="1:31">
      <c r="A93" s="63"/>
      <c r="C93" s="2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3"/>
      <c r="AD93" s="40">
        <f t="shared" si="7"/>
        <v>0</v>
      </c>
      <c r="AE93" s="31">
        <f t="shared" si="8"/>
        <v>0</v>
      </c>
    </row>
    <row r="94" spans="1:31" ht="15" thickBot="1">
      <c r="A94" s="63"/>
      <c r="C94" s="30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34"/>
      <c r="AD94" s="40">
        <f t="shared" si="7"/>
        <v>0</v>
      </c>
      <c r="AE94" s="31">
        <f t="shared" si="8"/>
        <v>0</v>
      </c>
    </row>
    <row r="95" spans="1:31" ht="15" thickTop="1">
      <c r="A95" s="63">
        <v>29</v>
      </c>
      <c r="C95" s="28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32"/>
      <c r="AD95" s="40">
        <f t="shared" si="7"/>
        <v>0</v>
      </c>
      <c r="AE95" s="31">
        <f t="shared" si="8"/>
        <v>0</v>
      </c>
    </row>
    <row r="96" spans="1:31">
      <c r="A96" s="63"/>
      <c r="C96" s="2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3"/>
      <c r="AD96" s="40">
        <f t="shared" si="7"/>
        <v>0</v>
      </c>
      <c r="AE96" s="31">
        <f t="shared" si="8"/>
        <v>0</v>
      </c>
    </row>
    <row r="97" spans="1:31" ht="15" thickBot="1">
      <c r="A97" s="63"/>
      <c r="C97" s="30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34"/>
      <c r="AD97" s="40">
        <f t="shared" si="7"/>
        <v>0</v>
      </c>
      <c r="AE97" s="31">
        <f t="shared" si="8"/>
        <v>0</v>
      </c>
    </row>
    <row r="98" spans="1:31" ht="15" thickTop="1">
      <c r="A98" s="63">
        <v>30</v>
      </c>
      <c r="C98" s="28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32"/>
      <c r="AD98" s="40">
        <f t="shared" si="7"/>
        <v>0</v>
      </c>
      <c r="AE98" s="31">
        <f t="shared" si="8"/>
        <v>0</v>
      </c>
    </row>
    <row r="99" spans="1:31">
      <c r="A99" s="63"/>
      <c r="C99" s="2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3"/>
      <c r="AD99" s="40">
        <f t="shared" si="7"/>
        <v>0</v>
      </c>
      <c r="AE99" s="31">
        <f t="shared" si="8"/>
        <v>0</v>
      </c>
    </row>
    <row r="100" spans="1:31" ht="15" thickBot="1">
      <c r="A100" s="63"/>
      <c r="C100" s="30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34"/>
      <c r="AD100" s="40">
        <f t="shared" si="7"/>
        <v>0</v>
      </c>
      <c r="AE100" s="31">
        <f t="shared" si="8"/>
        <v>0</v>
      </c>
    </row>
    <row r="101" spans="1:31" ht="15" thickTop="1">
      <c r="A101" s="63">
        <v>31</v>
      </c>
      <c r="C101" s="28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32"/>
      <c r="AD101" s="40">
        <f t="shared" si="7"/>
        <v>0</v>
      </c>
      <c r="AE101" s="31">
        <f t="shared" si="8"/>
        <v>0</v>
      </c>
    </row>
    <row r="102" spans="1:31">
      <c r="A102" s="63"/>
      <c r="C102" s="2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3"/>
      <c r="AD102" s="40">
        <f t="shared" si="7"/>
        <v>0</v>
      </c>
      <c r="AE102" s="31">
        <f t="shared" si="8"/>
        <v>0</v>
      </c>
    </row>
    <row r="103" spans="1:31" ht="15" thickBot="1">
      <c r="A103" s="63"/>
      <c r="C103" s="30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34"/>
      <c r="AD103" s="40">
        <f t="shared" si="7"/>
        <v>0</v>
      </c>
      <c r="AE103" s="31">
        <f t="shared" si="8"/>
        <v>0</v>
      </c>
    </row>
    <row r="104" spans="1:31" ht="15" thickTop="1"/>
  </sheetData>
  <mergeCells count="50">
    <mergeCell ref="Z4:AB4"/>
    <mergeCell ref="Z9:AB9"/>
    <mergeCell ref="AC4:AC5"/>
    <mergeCell ref="AD4:AD5"/>
    <mergeCell ref="AE4:AE5"/>
    <mergeCell ref="A6:A8"/>
    <mergeCell ref="P4:S4"/>
    <mergeCell ref="T4:U4"/>
    <mergeCell ref="V4:V5"/>
    <mergeCell ref="W4:W5"/>
    <mergeCell ref="X4:Y4"/>
    <mergeCell ref="A4:A5"/>
    <mergeCell ref="B4:B5"/>
    <mergeCell ref="C4:G4"/>
    <mergeCell ref="H4:I4"/>
    <mergeCell ref="J4:M4"/>
    <mergeCell ref="N4:O4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5:A67"/>
    <mergeCell ref="A68:A70"/>
    <mergeCell ref="A41:A43"/>
    <mergeCell ref="A44:A46"/>
    <mergeCell ref="A47:A49"/>
    <mergeCell ref="A50:A52"/>
    <mergeCell ref="A53:A55"/>
    <mergeCell ref="AF6:AF8"/>
    <mergeCell ref="AF4:AF5"/>
    <mergeCell ref="A101:A103"/>
    <mergeCell ref="A86:A88"/>
    <mergeCell ref="A89:A91"/>
    <mergeCell ref="A92:A94"/>
    <mergeCell ref="A95:A97"/>
    <mergeCell ref="A98:A100"/>
    <mergeCell ref="A71:A73"/>
    <mergeCell ref="A74:A76"/>
    <mergeCell ref="A77:A79"/>
    <mergeCell ref="A80:A82"/>
    <mergeCell ref="A83:A85"/>
    <mergeCell ref="A56:A58"/>
    <mergeCell ref="A59:A61"/>
    <mergeCell ref="A62:A64"/>
  </mergeCells>
  <conditionalFormatting sqref="A1:XFD1048576">
    <cfRule type="expression" dxfId="0" priority="1">
      <formula>OR(CELL("col")=COLUMN(),CELL("row")=ROW())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عمل الطبيب مراكز </vt:lpstr>
      <vt:lpstr>هالة رشدي</vt:lpstr>
      <vt:lpstr>سعد مرشد حنا</vt:lpstr>
      <vt:lpstr>تقي ياسر محمد</vt:lpstr>
      <vt:lpstr>حمزة محمد عاشور</vt:lpstr>
      <vt:lpstr>عمرو عصام الدين</vt:lpstr>
      <vt:lpstr>فاطمة طارق</vt:lpstr>
      <vt:lpstr>شاهندة مجدي محمد</vt:lpstr>
      <vt:lpstr>مارينا سامي صبري</vt:lpstr>
      <vt:lpstr>محمد اشرف الحسيني</vt:lpstr>
      <vt:lpstr>دينا عوني محمد</vt:lpstr>
      <vt:lpstr>ساندرا اشرف موريس</vt:lpstr>
      <vt:lpstr>ريم حسن فارس</vt:lpstr>
      <vt:lpstr>ساندي عماد منير</vt:lpstr>
      <vt:lpstr>كريستين ماجد الفونس</vt:lpstr>
      <vt:lpstr>شيماء زغلول احمد</vt:lpstr>
      <vt:lpstr>مارتن ماجد لويس</vt:lpstr>
      <vt:lpstr>رانيا محفوظ بخيت</vt:lpstr>
      <vt:lpstr>ياسر عبدالرحمن</vt:lpstr>
      <vt:lpstr>احمد احمد عباس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 10</dc:creator>
  <cp:lastModifiedBy>Patrick Michael</cp:lastModifiedBy>
  <cp:lastPrinted>2024-11-11T09:58:27Z</cp:lastPrinted>
  <dcterms:created xsi:type="dcterms:W3CDTF">2024-10-18T00:52:47Z</dcterms:created>
  <dcterms:modified xsi:type="dcterms:W3CDTF">2024-12-31T11:50:45Z</dcterms:modified>
</cp:coreProperties>
</file>